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conr\Downloads\"/>
    </mc:Choice>
  </mc:AlternateContent>
  <xr:revisionPtr revIDLastSave="0" documentId="8_{ACAB91F5-6D44-49B6-A1AA-4462F136839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oengsatt" sheetId="1" r:id="rId1"/>
    <sheet name="Original" sheetId="2" r:id="rId2"/>
    <sheet name="Fasit_vurdering" sheetId="3" r:id="rId3"/>
    <sheet name="Leaderboard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B14" i="4"/>
  <c r="G3" i="1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EG21" i="1"/>
  <c r="EE21" i="1"/>
  <c r="DS21" i="1"/>
  <c r="DQ21" i="1"/>
  <c r="DM21" i="1"/>
  <c r="DI21" i="1"/>
  <c r="DG21" i="1"/>
  <c r="DE21" i="1"/>
  <c r="DA21" i="1"/>
  <c r="CU21" i="1"/>
  <c r="BM21" i="1"/>
  <c r="AW21" i="1"/>
  <c r="AM21" i="1"/>
  <c r="AK21" i="1"/>
  <c r="AI21" i="1"/>
  <c r="AG21" i="1"/>
  <c r="AE21" i="1"/>
  <c r="AC21" i="1"/>
  <c r="AA21" i="1"/>
  <c r="Y21" i="1"/>
  <c r="W21" i="1"/>
  <c r="U21" i="1"/>
  <c r="S21" i="1"/>
  <c r="Q21" i="1"/>
  <c r="O21" i="1"/>
  <c r="M21" i="1"/>
  <c r="K21" i="1"/>
  <c r="I21" i="1"/>
  <c r="EG20" i="1"/>
  <c r="EE20" i="1"/>
  <c r="DS20" i="1"/>
  <c r="DQ20" i="1"/>
  <c r="DM20" i="1"/>
  <c r="DI20" i="1"/>
  <c r="DG20" i="1"/>
  <c r="DE20" i="1"/>
  <c r="DA20" i="1"/>
  <c r="CU20" i="1"/>
  <c r="BM20" i="1"/>
  <c r="AW20" i="1"/>
  <c r="AM20" i="1"/>
  <c r="AK20" i="1"/>
  <c r="AI20" i="1"/>
  <c r="AG20" i="1"/>
  <c r="AE20" i="1"/>
  <c r="AC20" i="1"/>
  <c r="AA20" i="1"/>
  <c r="Y20" i="1"/>
  <c r="W20" i="1"/>
  <c r="U20" i="1"/>
  <c r="S20" i="1"/>
  <c r="Q20" i="1"/>
  <c r="O20" i="1"/>
  <c r="M20" i="1"/>
  <c r="K20" i="1"/>
  <c r="I20" i="1"/>
  <c r="B19" i="4" s="1"/>
  <c r="EG19" i="1"/>
  <c r="EE19" i="1"/>
  <c r="DS19" i="1"/>
  <c r="DQ19" i="1"/>
  <c r="DM19" i="1"/>
  <c r="DI19" i="1"/>
  <c r="DG19" i="1"/>
  <c r="DE19" i="1"/>
  <c r="DA19" i="1"/>
  <c r="CU19" i="1"/>
  <c r="BM19" i="1"/>
  <c r="AW19" i="1"/>
  <c r="AM19" i="1"/>
  <c r="AK19" i="1"/>
  <c r="AI19" i="1"/>
  <c r="AG19" i="1"/>
  <c r="AE19" i="1"/>
  <c r="AC19" i="1"/>
  <c r="AA19" i="1"/>
  <c r="Y19" i="1"/>
  <c r="W19" i="1"/>
  <c r="U19" i="1"/>
  <c r="S19" i="1"/>
  <c r="Q19" i="1"/>
  <c r="O19" i="1"/>
  <c r="M19" i="1"/>
  <c r="K19" i="1"/>
  <c r="I19" i="1"/>
  <c r="EG18" i="1"/>
  <c r="EE18" i="1"/>
  <c r="DS18" i="1"/>
  <c r="DQ18" i="1"/>
  <c r="DM18" i="1"/>
  <c r="DI18" i="1"/>
  <c r="DG18" i="1"/>
  <c r="DE18" i="1"/>
  <c r="DA18" i="1"/>
  <c r="CU18" i="1"/>
  <c r="BM18" i="1"/>
  <c r="AW18" i="1"/>
  <c r="AM18" i="1"/>
  <c r="AK18" i="1"/>
  <c r="AI18" i="1"/>
  <c r="AG18" i="1"/>
  <c r="AE18" i="1"/>
  <c r="AC18" i="1"/>
  <c r="AA18" i="1"/>
  <c r="Y18" i="1"/>
  <c r="W18" i="1"/>
  <c r="U18" i="1"/>
  <c r="S18" i="1"/>
  <c r="Q18" i="1"/>
  <c r="O18" i="1"/>
  <c r="M18" i="1"/>
  <c r="K18" i="1"/>
  <c r="B17" i="4" s="1"/>
  <c r="I18" i="1"/>
  <c r="EG17" i="1"/>
  <c r="EE17" i="1"/>
  <c r="DS17" i="1"/>
  <c r="DQ17" i="1"/>
  <c r="DM17" i="1"/>
  <c r="DI17" i="1"/>
  <c r="DG17" i="1"/>
  <c r="DE17" i="1"/>
  <c r="DA17" i="1"/>
  <c r="CU17" i="1"/>
  <c r="BM17" i="1"/>
  <c r="AW17" i="1"/>
  <c r="AM17" i="1"/>
  <c r="AK17" i="1"/>
  <c r="AI17" i="1"/>
  <c r="AG17" i="1"/>
  <c r="AE17" i="1"/>
  <c r="AC17" i="1"/>
  <c r="AA17" i="1"/>
  <c r="Y17" i="1"/>
  <c r="W17" i="1"/>
  <c r="U17" i="1"/>
  <c r="S17" i="1"/>
  <c r="Q17" i="1"/>
  <c r="O17" i="1"/>
  <c r="M17" i="1"/>
  <c r="K17" i="1"/>
  <c r="B16" i="4" s="1"/>
  <c r="I17" i="1"/>
  <c r="EG16" i="1"/>
  <c r="EE16" i="1"/>
  <c r="DS16" i="1"/>
  <c r="DQ16" i="1"/>
  <c r="DM16" i="1"/>
  <c r="DI16" i="1"/>
  <c r="DG16" i="1"/>
  <c r="DE16" i="1"/>
  <c r="DA16" i="1"/>
  <c r="CU16" i="1"/>
  <c r="BM16" i="1"/>
  <c r="AW16" i="1"/>
  <c r="AM16" i="1"/>
  <c r="AK16" i="1"/>
  <c r="AI16" i="1"/>
  <c r="AG16" i="1"/>
  <c r="AE16" i="1"/>
  <c r="AC16" i="1"/>
  <c r="AA16" i="1"/>
  <c r="Y16" i="1"/>
  <c r="W16" i="1"/>
  <c r="U16" i="1"/>
  <c r="B15" i="4" s="1"/>
  <c r="S16" i="1"/>
  <c r="Q16" i="1"/>
  <c r="O16" i="1"/>
  <c r="M16" i="1"/>
  <c r="K16" i="1"/>
  <c r="I16" i="1"/>
  <c r="EG15" i="1"/>
  <c r="EE15" i="1"/>
  <c r="DS15" i="1"/>
  <c r="DQ15" i="1"/>
  <c r="DM15" i="1"/>
  <c r="DI15" i="1"/>
  <c r="DG15" i="1"/>
  <c r="DE15" i="1"/>
  <c r="DA15" i="1"/>
  <c r="CU15" i="1"/>
  <c r="BM15" i="1"/>
  <c r="AW15" i="1"/>
  <c r="AM15" i="1"/>
  <c r="AK15" i="1"/>
  <c r="AI15" i="1"/>
  <c r="AG15" i="1"/>
  <c r="AE15" i="1"/>
  <c r="AC15" i="1"/>
  <c r="AA15" i="1"/>
  <c r="Y15" i="1"/>
  <c r="W15" i="1"/>
  <c r="U15" i="1"/>
  <c r="S15" i="1"/>
  <c r="Q15" i="1"/>
  <c r="O15" i="1"/>
  <c r="M15" i="1"/>
  <c r="K15" i="1"/>
  <c r="I15" i="1"/>
  <c r="EG14" i="1"/>
  <c r="EE14" i="1"/>
  <c r="DS14" i="1"/>
  <c r="DQ14" i="1"/>
  <c r="DM14" i="1"/>
  <c r="DI14" i="1"/>
  <c r="DG14" i="1"/>
  <c r="DE14" i="1"/>
  <c r="DA14" i="1"/>
  <c r="CU14" i="1"/>
  <c r="BM14" i="1"/>
  <c r="AW14" i="1"/>
  <c r="AM14" i="1"/>
  <c r="AK14" i="1"/>
  <c r="AI14" i="1"/>
  <c r="AG14" i="1"/>
  <c r="AE14" i="1"/>
  <c r="AC14" i="1"/>
  <c r="AA14" i="1"/>
  <c r="Y14" i="1"/>
  <c r="W14" i="1"/>
  <c r="U14" i="1"/>
  <c r="S14" i="1"/>
  <c r="Q14" i="1"/>
  <c r="O14" i="1"/>
  <c r="M14" i="1"/>
  <c r="K14" i="1"/>
  <c r="I14" i="1"/>
  <c r="EG13" i="1"/>
  <c r="EE13" i="1"/>
  <c r="DS13" i="1"/>
  <c r="DQ13" i="1"/>
  <c r="DM13" i="1"/>
  <c r="DI13" i="1"/>
  <c r="DG13" i="1"/>
  <c r="DE13" i="1"/>
  <c r="DA13" i="1"/>
  <c r="CU13" i="1"/>
  <c r="BM13" i="1"/>
  <c r="AW13" i="1"/>
  <c r="AM13" i="1"/>
  <c r="AK13" i="1"/>
  <c r="AI13" i="1"/>
  <c r="AG13" i="1"/>
  <c r="AE13" i="1"/>
  <c r="AC13" i="1"/>
  <c r="AA13" i="1"/>
  <c r="Y13" i="1"/>
  <c r="W13" i="1"/>
  <c r="U13" i="1"/>
  <c r="S13" i="1"/>
  <c r="Q13" i="1"/>
  <c r="O13" i="1"/>
  <c r="M13" i="1"/>
  <c r="K13" i="1"/>
  <c r="I13" i="1"/>
  <c r="EG12" i="1"/>
  <c r="EE12" i="1"/>
  <c r="DS12" i="1"/>
  <c r="DQ12" i="1"/>
  <c r="DM12" i="1"/>
  <c r="DI12" i="1"/>
  <c r="DG12" i="1"/>
  <c r="DE12" i="1"/>
  <c r="DA12" i="1"/>
  <c r="CU12" i="1"/>
  <c r="BM12" i="1"/>
  <c r="AW12" i="1"/>
  <c r="AM12" i="1"/>
  <c r="AK12" i="1"/>
  <c r="AI12" i="1"/>
  <c r="AG12" i="1"/>
  <c r="AE12" i="1"/>
  <c r="AC12" i="1"/>
  <c r="AA12" i="1"/>
  <c r="Y12" i="1"/>
  <c r="W12" i="1"/>
  <c r="U12" i="1"/>
  <c r="S12" i="1"/>
  <c r="Q12" i="1"/>
  <c r="O12" i="1"/>
  <c r="M12" i="1"/>
  <c r="K12" i="1"/>
  <c r="I12" i="1"/>
  <c r="EG11" i="1"/>
  <c r="EE11" i="1"/>
  <c r="DS11" i="1"/>
  <c r="DQ11" i="1"/>
  <c r="DM11" i="1"/>
  <c r="DI11" i="1"/>
  <c r="DG11" i="1"/>
  <c r="DE11" i="1"/>
  <c r="DA11" i="1"/>
  <c r="CU11" i="1"/>
  <c r="BM11" i="1"/>
  <c r="AW11" i="1"/>
  <c r="AM11" i="1"/>
  <c r="AK11" i="1"/>
  <c r="AI11" i="1"/>
  <c r="AG11" i="1"/>
  <c r="AE11" i="1"/>
  <c r="AC11" i="1"/>
  <c r="AA11" i="1"/>
  <c r="Y11" i="1"/>
  <c r="W11" i="1"/>
  <c r="U11" i="1"/>
  <c r="S11" i="1"/>
  <c r="Q11" i="1"/>
  <c r="O11" i="1"/>
  <c r="M11" i="1"/>
  <c r="K11" i="1"/>
  <c r="I11" i="1"/>
  <c r="EG10" i="1"/>
  <c r="EE10" i="1"/>
  <c r="DS10" i="1"/>
  <c r="DQ10" i="1"/>
  <c r="DM10" i="1"/>
  <c r="DI10" i="1"/>
  <c r="DG10" i="1"/>
  <c r="DE10" i="1"/>
  <c r="DA10" i="1"/>
  <c r="CU10" i="1"/>
  <c r="BM10" i="1"/>
  <c r="AW10" i="1"/>
  <c r="AM10" i="1"/>
  <c r="AK10" i="1"/>
  <c r="AI10" i="1"/>
  <c r="AG10" i="1"/>
  <c r="AE10" i="1"/>
  <c r="AC10" i="1"/>
  <c r="AA10" i="1"/>
  <c r="Y10" i="1"/>
  <c r="W10" i="1"/>
  <c r="U10" i="1"/>
  <c r="S10" i="1"/>
  <c r="Q10" i="1"/>
  <c r="O10" i="1"/>
  <c r="M10" i="1"/>
  <c r="K10" i="1"/>
  <c r="I10" i="1"/>
  <c r="EG9" i="1"/>
  <c r="EE9" i="1"/>
  <c r="DS9" i="1"/>
  <c r="DQ9" i="1"/>
  <c r="DM9" i="1"/>
  <c r="DI9" i="1"/>
  <c r="DG9" i="1"/>
  <c r="DE9" i="1"/>
  <c r="DA9" i="1"/>
  <c r="CU9" i="1"/>
  <c r="BM9" i="1"/>
  <c r="AW9" i="1"/>
  <c r="AM9" i="1"/>
  <c r="AK9" i="1"/>
  <c r="AI9" i="1"/>
  <c r="AG9" i="1"/>
  <c r="AE9" i="1"/>
  <c r="AC9" i="1"/>
  <c r="AA9" i="1"/>
  <c r="Y9" i="1"/>
  <c r="W9" i="1"/>
  <c r="U9" i="1"/>
  <c r="S9" i="1"/>
  <c r="Q9" i="1"/>
  <c r="O9" i="1"/>
  <c r="M9" i="1"/>
  <c r="K9" i="1"/>
  <c r="I9" i="1"/>
  <c r="B8" i="4" s="1"/>
  <c r="EG8" i="1"/>
  <c r="EE8" i="1"/>
  <c r="DS8" i="1"/>
  <c r="DQ8" i="1"/>
  <c r="DM8" i="1"/>
  <c r="DI8" i="1"/>
  <c r="DG8" i="1"/>
  <c r="DE8" i="1"/>
  <c r="DA8" i="1"/>
  <c r="CU8" i="1"/>
  <c r="BM8" i="1"/>
  <c r="AW8" i="1"/>
  <c r="AM8" i="1"/>
  <c r="AK8" i="1"/>
  <c r="AI8" i="1"/>
  <c r="AG8" i="1"/>
  <c r="AE8" i="1"/>
  <c r="AC8" i="1"/>
  <c r="AA8" i="1"/>
  <c r="Y8" i="1"/>
  <c r="W8" i="1"/>
  <c r="U8" i="1"/>
  <c r="S8" i="1"/>
  <c r="Q8" i="1"/>
  <c r="O8" i="1"/>
  <c r="M8" i="1"/>
  <c r="K8" i="1"/>
  <c r="I8" i="1"/>
  <c r="EG7" i="1"/>
  <c r="EE7" i="1"/>
  <c r="DS7" i="1"/>
  <c r="DQ7" i="1"/>
  <c r="DM7" i="1"/>
  <c r="DI7" i="1"/>
  <c r="DG7" i="1"/>
  <c r="DE7" i="1"/>
  <c r="DA7" i="1"/>
  <c r="CU7" i="1"/>
  <c r="BM7" i="1"/>
  <c r="AW7" i="1"/>
  <c r="AM7" i="1"/>
  <c r="AK7" i="1"/>
  <c r="AI7" i="1"/>
  <c r="AG7" i="1"/>
  <c r="AE7" i="1"/>
  <c r="AC7" i="1"/>
  <c r="AA7" i="1"/>
  <c r="Y7" i="1"/>
  <c r="W7" i="1"/>
  <c r="U7" i="1"/>
  <c r="S7" i="1"/>
  <c r="Q7" i="1"/>
  <c r="O7" i="1"/>
  <c r="M7" i="1"/>
  <c r="K7" i="1"/>
  <c r="I7" i="1"/>
  <c r="EG6" i="1"/>
  <c r="EE6" i="1"/>
  <c r="DS6" i="1"/>
  <c r="DQ6" i="1"/>
  <c r="DM6" i="1"/>
  <c r="DI6" i="1"/>
  <c r="DG6" i="1"/>
  <c r="DE6" i="1"/>
  <c r="DA6" i="1"/>
  <c r="CU6" i="1"/>
  <c r="BM6" i="1"/>
  <c r="AW6" i="1"/>
  <c r="AM6" i="1"/>
  <c r="AK6" i="1"/>
  <c r="AI6" i="1"/>
  <c r="AG6" i="1"/>
  <c r="AE6" i="1"/>
  <c r="AC6" i="1"/>
  <c r="AA6" i="1"/>
  <c r="Y6" i="1"/>
  <c r="W6" i="1"/>
  <c r="U6" i="1"/>
  <c r="S6" i="1"/>
  <c r="Q6" i="1"/>
  <c r="O6" i="1"/>
  <c r="M6" i="1"/>
  <c r="K6" i="1"/>
  <c r="B5" i="4" s="1"/>
  <c r="I6" i="1"/>
  <c r="EG5" i="1"/>
  <c r="EE5" i="1"/>
  <c r="DS5" i="1"/>
  <c r="DQ5" i="1"/>
  <c r="DM5" i="1"/>
  <c r="DI5" i="1"/>
  <c r="DG5" i="1"/>
  <c r="DE5" i="1"/>
  <c r="DA5" i="1"/>
  <c r="CU5" i="1"/>
  <c r="BM5" i="1"/>
  <c r="AW5" i="1"/>
  <c r="AM5" i="1"/>
  <c r="AK5" i="1"/>
  <c r="AI5" i="1"/>
  <c r="AG5" i="1"/>
  <c r="AE5" i="1"/>
  <c r="AC5" i="1"/>
  <c r="AA5" i="1"/>
  <c r="Y5" i="1"/>
  <c r="W5" i="1"/>
  <c r="U5" i="1"/>
  <c r="S5" i="1"/>
  <c r="Q5" i="1"/>
  <c r="O5" i="1"/>
  <c r="M5" i="1"/>
  <c r="K5" i="1"/>
  <c r="B4" i="4" s="1"/>
  <c r="I5" i="1"/>
  <c r="EG4" i="1"/>
  <c r="EE4" i="1"/>
  <c r="DS4" i="1"/>
  <c r="DQ4" i="1"/>
  <c r="DM4" i="1"/>
  <c r="DI4" i="1"/>
  <c r="DG4" i="1"/>
  <c r="DE4" i="1"/>
  <c r="DA4" i="1"/>
  <c r="CU4" i="1"/>
  <c r="BM4" i="1"/>
  <c r="AW4" i="1"/>
  <c r="AM4" i="1"/>
  <c r="AK4" i="1"/>
  <c r="AI4" i="1"/>
  <c r="AG4" i="1"/>
  <c r="AE4" i="1"/>
  <c r="AC4" i="1"/>
  <c r="AA4" i="1"/>
  <c r="Y4" i="1"/>
  <c r="W4" i="1"/>
  <c r="U4" i="1"/>
  <c r="S4" i="1"/>
  <c r="Q4" i="1"/>
  <c r="O4" i="1"/>
  <c r="B3" i="4" s="1"/>
  <c r="M4" i="1"/>
  <c r="K4" i="1"/>
  <c r="I4" i="1"/>
  <c r="EG3" i="1"/>
  <c r="EE3" i="1"/>
  <c r="DS3" i="1"/>
  <c r="DQ3" i="1"/>
  <c r="DM3" i="1"/>
  <c r="B2" i="4" s="1"/>
  <c r="DI3" i="1"/>
  <c r="DG3" i="1"/>
  <c r="DE3" i="1"/>
  <c r="DA3" i="1"/>
  <c r="CU3" i="1"/>
  <c r="BM3" i="1"/>
  <c r="AW3" i="1"/>
  <c r="AM3" i="1"/>
  <c r="AK3" i="1"/>
  <c r="AI3" i="1"/>
  <c r="AG3" i="1"/>
  <c r="AE3" i="1"/>
  <c r="AC3" i="1"/>
  <c r="AA3" i="1"/>
  <c r="Y3" i="1"/>
  <c r="W3" i="1"/>
  <c r="U3" i="1"/>
  <c r="S3" i="1"/>
  <c r="Q3" i="1"/>
  <c r="O3" i="1"/>
  <c r="M3" i="1"/>
  <c r="K3" i="1"/>
  <c r="I3" i="1"/>
  <c r="B10" i="4" l="1"/>
  <c r="B13" i="4"/>
  <c r="B11" i="4"/>
  <c r="B6" i="4"/>
  <c r="B9" i="4"/>
  <c r="B20" i="4"/>
  <c r="B7" i="4"/>
  <c r="B12" i="4"/>
  <c r="B18" i="4"/>
</calcChain>
</file>

<file path=xl/sharedStrings.xml><?xml version="1.0" encoding="utf-8"?>
<sst xmlns="http://schemas.openxmlformats.org/spreadsheetml/2006/main" count="3135" uniqueCount="345">
  <si>
    <t>FASIT</t>
  </si>
  <si>
    <t>7</t>
  </si>
  <si>
    <t>15+</t>
  </si>
  <si>
    <t>Ghana</t>
  </si>
  <si>
    <t>Ghana, Annen</t>
  </si>
  <si>
    <t>Bosnia-Hercegovina</t>
  </si>
  <si>
    <t>Tyrikia</t>
  </si>
  <si>
    <t>Tyrkia, Tyrikia</t>
  </si>
  <si>
    <t>2</t>
  </si>
  <si>
    <t>6+</t>
  </si>
  <si>
    <t>201-250, 215</t>
  </si>
  <si>
    <t>1 - Panama</t>
  </si>
  <si>
    <t>1, 1 - Panama</t>
  </si>
  <si>
    <t>Flere enn 2, 12</t>
  </si>
  <si>
    <t>4</t>
  </si>
  <si>
    <t>3</t>
  </si>
  <si>
    <t>1</t>
  </si>
  <si>
    <t>Ikke avgjort</t>
  </si>
  <si>
    <t>Australia og Japan</t>
  </si>
  <si>
    <t>Australia, Japan, Australia og Japan</t>
  </si>
  <si>
    <t>Nei</t>
  </si>
  <si>
    <t>7 eller flere</t>
  </si>
  <si>
    <t>9+</t>
  </si>
  <si>
    <t>Norge</t>
  </si>
  <si>
    <t>Frankrike</t>
  </si>
  <si>
    <t>Patrick Berg</t>
  </si>
  <si>
    <t>Ja</t>
  </si>
  <si>
    <t>Over 37</t>
  </si>
  <si>
    <t>Haaland</t>
  </si>
  <si>
    <t>5+</t>
  </si>
  <si>
    <t>Id</t>
  </si>
  <si>
    <t>Starttidspunkt</t>
  </si>
  <si>
    <t>Fullføringstidspunkt</t>
  </si>
  <si>
    <t>E-postadresse</t>
  </si>
  <si>
    <t>Navn</t>
  </si>
  <si>
    <t>Navn1</t>
  </si>
  <si>
    <t>Poeng totalt</t>
  </si>
  <si>
    <t>Flest mål sluppet inn i en kamp (gruppespill)</t>
  </si>
  <si>
    <t>Poeng</t>
  </si>
  <si>
    <t>Antall kamper med mer enn 4,5 mål i gruppespillet</t>
  </si>
  <si>
    <t>Hvilket lavest rangerte lag vinner en kamp?</t>
  </si>
  <si>
    <t>Lavest UEFA-rankede lag til å gå videre fra gruppespillet</t>
  </si>
  <si>
    <t>Høyest UEFA-rankede lag til å bli slått ut i gruppespillet</t>
  </si>
  <si>
    <t>Norges plassering i gruppespillet</t>
  </si>
  <si>
    <t>Hvor mange poeng tar Norge i gruppespillet?</t>
  </si>
  <si>
    <t>Totalt antall mål i gruppespillet</t>
  </si>
  <si>
    <t>Hvor mange lag ender gruppespillet med null scorede mål?</t>
  </si>
  <si>
    <t>Antall selvmål i gruppespillet</t>
  </si>
  <si>
    <t>Topplag gruppe A-D: Hvor mange av disse vinner gruppen sin: Mexico, Sveits, Brasil, USA?</t>
  </si>
  <si>
    <t>Topplag gruppe A-D: Hvor mange av disse vinner gruppen sin: Tyskland, Nederland, Belgia, Spania?</t>
  </si>
  <si>
    <t>Topplag gruppe A-D: Hvor mange av disse vinner gruppen sin: Frankrike, Argentina, Portugal, England?</t>
  </si>
  <si>
    <t>Underdogs, gruppe A-D: Hvor mange går videre av Sør-Afrika, Bosnia-Hercegovina, Haiti, Paraguay?</t>
  </si>
  <si>
    <t>Underdogs, gruppe E-H: Hvor mange går videre av Curaçao, Tunisia, New Zealand, Kapp Verde?</t>
  </si>
  <si>
    <t>Underdogs, gruppe I-L: Hvor mange går videre av Irak, Jordan, DR Kongo, Ghana?</t>
  </si>
  <si>
    <t>Beste Vertsnasjon?</t>
  </si>
  <si>
    <t>Hvilket europeisk lag kommer lengst i VM?</t>
  </si>
  <si>
    <t>Hvilket afrikansk lag kommer lengst i VM?</t>
  </si>
  <si>
    <t>Hvilket amerikansk lag kommer lengst i VM? (nord+sør, men utenom vertslandene!)</t>
  </si>
  <si>
    <t>Hvilket asiatisk lag kommer lengst i VM? (Inkludert oseania)</t>
  </si>
  <si>
    <t>Største målforskjell i en sluttspillskamp?</t>
  </si>
  <si>
    <t>Havner England i en straffekonkurranse?</t>
  </si>
  <si>
    <t>Antall kamper som står 0-0 ved full tid i sluttspillet?</t>
  </si>
  <si>
    <t>Antall straffekonkurranser i VM?</t>
  </si>
  <si>
    <t>Kommer minst én av Spania og Brasil til semifinale?</t>
  </si>
  <si>
    <t>Kommer minst én av Frankrike og Argentina til semifinale?</t>
  </si>
  <si>
    <t>Kommer minst én av England og Portugal til semifinale?</t>
  </si>
  <si>
    <t>Kommer minst én av Tyskland og Nederland til semifinale?</t>
  </si>
  <si>
    <t>Hvem blir toppscorer?</t>
  </si>
  <si>
    <t>Hvem får flest assists?</t>
  </si>
  <si>
    <t>Hvem blir beste keeper?</t>
  </si>
  <si>
    <t>Hvem blir beste unge spiller?</t>
  </si>
  <si>
    <t>Hvilken av spiller får flest kort?</t>
  </si>
  <si>
    <t>Totalt antall mål i VM</t>
  </si>
  <si>
    <t>Hvilket lag scorer flest mål i turneringen?</t>
  </si>
  <si>
    <t>Hvilket lag holder flest clean sheets (fulltid)?</t>
  </si>
  <si>
    <t>Hvem vinner VM?</t>
  </si>
  <si>
    <t>Hvem får flest spilleminutter av Messi og Ronaldo?</t>
  </si>
  <si>
    <t>Blir Norge involvert i straffesparkkonkurranse?</t>
  </si>
  <si>
    <t>Antall mål toppscoreren ender på</t>
  </si>
  <si>
    <t>Totalt antall direkte røde kort</t>
  </si>
  <si>
    <t>Totalt antall gule kort over/under 200?</t>
  </si>
  <si>
    <t>Totalt antall straffer dømt</t>
  </si>
  <si>
    <t>Totalt antall straffesparkkonkurranser</t>
  </si>
  <si>
    <t>Antall selvmål i løpet av VM?</t>
  </si>
  <si>
    <t>Største antall gule kort i én kamp? Over/under 11,5</t>
  </si>
  <si>
    <t>Hvem blir toppscorer blant spillere som er 21 år eller yngre ved turneringsstart?</t>
  </si>
  <si>
    <t>Hvor mange mål scorer Norge totalt?</t>
  </si>
  <si>
    <t>Hvor mange mål slipper Norge inn totalt?</t>
  </si>
  <si>
    <t>Vinner Norge-Irak?</t>
  </si>
  <si>
    <t>Vinner Norge-Senegal?</t>
  </si>
  <si>
    <t>Vinner Norge-Frankrike?</t>
  </si>
  <si>
    <t>Norges plassering i VM Skriv inn svar</t>
  </si>
  <si>
    <t>Hvem får Norges første gule kort?</t>
  </si>
  <si>
    <t>Får Norge rødt kort i løpet av VM?</t>
  </si>
  <si>
    <t>Blir minst én kamp avbrutt midlertidig på grunn av vær?</t>
  </si>
  <si>
    <t>Høyeste offisielle temperatur ved kampstart</t>
  </si>
  <si>
    <t>Hvor langt kommer Norge?</t>
  </si>
  <si>
    <t>Hvor mange gule kort får Ryerson?</t>
  </si>
  <si>
    <t>Starter Ødegaard alle kampene?</t>
  </si>
  <si>
    <t>Hvor mange kamper får Thelo Aasgaard spille?</t>
  </si>
  <si>
    <t>Får Solbakken gult kort?</t>
  </si>
  <si>
    <t>Hvem scorer Norges første mål?</t>
  </si>
  <si>
    <t>Hvor mange mål scorer Haaland totalt?</t>
  </si>
  <si>
    <t>Lengste distanse løpt i finalen av en spiller.</t>
  </si>
  <si>
    <t>anonymous</t>
  </si>
  <si>
    <t>K</t>
  </si>
  <si>
    <t>6</t>
  </si>
  <si>
    <t>0–6</t>
  </si>
  <si>
    <t>Sør-Afrika</t>
  </si>
  <si>
    <t>Annen</t>
  </si>
  <si>
    <t>51-100</t>
  </si>
  <si>
    <t>Flere enn 2</t>
  </si>
  <si>
    <t>Mexico</t>
  </si>
  <si>
    <t>England</t>
  </si>
  <si>
    <t>Senegal</t>
  </si>
  <si>
    <t>Brasil</t>
  </si>
  <si>
    <t>Sør-Korea</t>
  </si>
  <si>
    <t>1-3</t>
  </si>
  <si>
    <t>Flere enn 5</t>
  </si>
  <si>
    <t>Harry Kane</t>
  </si>
  <si>
    <t>Michael Olise</t>
  </si>
  <si>
    <t>Manuel Neuer</t>
  </si>
  <si>
    <t>Nico Paz</t>
  </si>
  <si>
    <t>Cristian Romero</t>
  </si>
  <si>
    <t>251-300</t>
  </si>
  <si>
    <t>Spania</t>
  </si>
  <si>
    <t>Messi</t>
  </si>
  <si>
    <t>0-3</t>
  </si>
  <si>
    <t>300 eller flere</t>
  </si>
  <si>
    <t>31-40</t>
  </si>
  <si>
    <t>5 eller flere</t>
  </si>
  <si>
    <t>0-4. 5-6</t>
  </si>
  <si>
    <t>Over</t>
  </si>
  <si>
    <t>3–4</t>
  </si>
  <si>
    <t>uavgjort</t>
  </si>
  <si>
    <t>8</t>
  </si>
  <si>
    <t>Martin Ødegaard</t>
  </si>
  <si>
    <t>35-37</t>
  </si>
  <si>
    <t>8. delsfinale</t>
  </si>
  <si>
    <t>12,3</t>
  </si>
  <si>
    <t>Jonas Hagen</t>
  </si>
  <si>
    <t>10+</t>
  </si>
  <si>
    <t>7–9</t>
  </si>
  <si>
    <t>Irak</t>
  </si>
  <si>
    <t>Tyskland</t>
  </si>
  <si>
    <t>5</t>
  </si>
  <si>
    <t>Canada</t>
  </si>
  <si>
    <t>Marokko</t>
  </si>
  <si>
    <t>Japan</t>
  </si>
  <si>
    <t>Kylian Mbappé</t>
  </si>
  <si>
    <t>Bruno Fernandes</t>
  </si>
  <si>
    <t>Emiliano Martínez</t>
  </si>
  <si>
    <t>Lamine Yamal</t>
  </si>
  <si>
    <t>João Palhinha</t>
  </si>
  <si>
    <t>150-200</t>
  </si>
  <si>
    <t>10</t>
  </si>
  <si>
    <t>Under 200</t>
  </si>
  <si>
    <t>11-20</t>
  </si>
  <si>
    <t>5-6</t>
  </si>
  <si>
    <t>Under</t>
  </si>
  <si>
    <t>Désiré Doué</t>
  </si>
  <si>
    <t>7–8</t>
  </si>
  <si>
    <t>Kvartfinale</t>
  </si>
  <si>
    <t>Kristoffer Ajer</t>
  </si>
  <si>
    <t>33-35</t>
  </si>
  <si>
    <t>Nusa</t>
  </si>
  <si>
    <t>14-16km</t>
  </si>
  <si>
    <t>Jarle</t>
  </si>
  <si>
    <t>Curaçao</t>
  </si>
  <si>
    <t>Tunisia</t>
  </si>
  <si>
    <t>Østerrike</t>
  </si>
  <si>
    <t>151-200</t>
  </si>
  <si>
    <t>0</t>
  </si>
  <si>
    <t>201-250</t>
  </si>
  <si>
    <t>Portugal</t>
  </si>
  <si>
    <t>9</t>
  </si>
  <si>
    <t>4-5</t>
  </si>
  <si>
    <t>5–6</t>
  </si>
  <si>
    <t>12</t>
  </si>
  <si>
    <t>Julian Ryerson</t>
  </si>
  <si>
    <t>11,2 km</t>
  </si>
  <si>
    <t>El Jefe</t>
  </si>
  <si>
    <t>DR Kongo</t>
  </si>
  <si>
    <t>Egypt</t>
  </si>
  <si>
    <t>Argentina</t>
  </si>
  <si>
    <t>8 eller flere</t>
  </si>
  <si>
    <t>Endrick</t>
  </si>
  <si>
    <t>16-dels</t>
  </si>
  <si>
    <t>Fredrik Aursnes</t>
  </si>
  <si>
    <t>16. delsfinale</t>
  </si>
  <si>
    <t>12,6 km</t>
  </si>
  <si>
    <t>Joachim E-H</t>
  </si>
  <si>
    <t>Kroatia</t>
  </si>
  <si>
    <t>Manuel Ugarte</t>
  </si>
  <si>
    <t>Åttendelsfinale</t>
  </si>
  <si>
    <t>8 kilometer</t>
  </si>
  <si>
    <t>Njord Are</t>
  </si>
  <si>
    <t>Belgia</t>
  </si>
  <si>
    <t>USA</t>
  </si>
  <si>
    <t>Lionel Messi</t>
  </si>
  <si>
    <t>Rodrigo De Paul</t>
  </si>
  <si>
    <t>0-10</t>
  </si>
  <si>
    <t>0-4</t>
  </si>
  <si>
    <t>13,7</t>
  </si>
  <si>
    <t>Brændmo</t>
  </si>
  <si>
    <t>Qatar</t>
  </si>
  <si>
    <t>Paraguay</t>
  </si>
  <si>
    <t>21-30</t>
  </si>
  <si>
    <t>32</t>
  </si>
  <si>
    <t>Leo Østigård</t>
  </si>
  <si>
    <t>Sørloth</t>
  </si>
  <si>
    <t>10,85 km</t>
  </si>
  <si>
    <t>Nichlas André Furu Tunes</t>
  </si>
  <si>
    <t>10–12</t>
  </si>
  <si>
    <t>101-150</t>
  </si>
  <si>
    <t>Alisson Becker</t>
  </si>
  <si>
    <t>Granit Xhaka</t>
  </si>
  <si>
    <t>Ronaldo</t>
  </si>
  <si>
    <t>Over 10</t>
  </si>
  <si>
    <t>6-7</t>
  </si>
  <si>
    <t>13</t>
  </si>
  <si>
    <t>Mathias "Smultring" Langaard</t>
  </si>
  <si>
    <t>Panama</t>
  </si>
  <si>
    <t>Australia</t>
  </si>
  <si>
    <t>Erling Haaland</t>
  </si>
  <si>
    <t>Virgil van Dijk</t>
  </si>
  <si>
    <t>Over 300</t>
  </si>
  <si>
    <t>201-299</t>
  </si>
  <si>
    <t>14750m</t>
  </si>
  <si>
    <t>Dons</t>
  </si>
  <si>
    <t>10435 meter</t>
  </si>
  <si>
    <t>Mathias Berge</t>
  </si>
  <si>
    <t>New Zealand</t>
  </si>
  <si>
    <t>Sveits</t>
  </si>
  <si>
    <t>Over 251</t>
  </si>
  <si>
    <t>Under 33</t>
  </si>
  <si>
    <t>14.2 km</t>
  </si>
  <si>
    <t>Martin Moen</t>
  </si>
  <si>
    <t>Tyrkia</t>
  </si>
  <si>
    <t>8 dels</t>
  </si>
  <si>
    <t>14651m</t>
  </si>
  <si>
    <t>Karsten</t>
  </si>
  <si>
    <t>Kapp Verde</t>
  </si>
  <si>
    <t>Nederland</t>
  </si>
  <si>
    <t>Bobb</t>
  </si>
  <si>
    <t>Zippo</t>
  </si>
  <si>
    <t>Under 5</t>
  </si>
  <si>
    <t>Ecuador</t>
  </si>
  <si>
    <t>Unai Simón</t>
  </si>
  <si>
    <t>David Møller Wolfe</t>
  </si>
  <si>
    <t>13 km</t>
  </si>
  <si>
    <t>Robin</t>
  </si>
  <si>
    <t>3,8km</t>
  </si>
  <si>
    <t>Arvin Conradi</t>
  </si>
  <si>
    <t>Diogo Costa</t>
  </si>
  <si>
    <t>Åtendelsfinale</t>
  </si>
  <si>
    <t>Julie</t>
  </si>
  <si>
    <t>Jordan</t>
  </si>
  <si>
    <t>Kevin De Bruyne</t>
  </si>
  <si>
    <t>6700</t>
  </si>
  <si>
    <t>Adrian</t>
  </si>
  <si>
    <t>Annet lag</t>
  </si>
  <si>
    <t>Finale</t>
  </si>
  <si>
    <t>16</t>
  </si>
  <si>
    <t>ElToro</t>
  </si>
  <si>
    <t>2-3</t>
  </si>
  <si>
    <t>Kvart</t>
  </si>
  <si>
    <t>Original kolonne</t>
  </si>
  <si>
    <t>Spørsmål</t>
  </si>
  <si>
    <t>Fasit i rad 1</t>
  </si>
  <si>
    <t>Godkjente svar/alternativer</t>
  </si>
  <si>
    <t>Status/kommentar</t>
  </si>
  <si>
    <t>G</t>
  </si>
  <si>
    <t>Poengsatt manuelt. Eksakt tekstmatch mot godkjente alternativer.</t>
  </si>
  <si>
    <t>H</t>
  </si>
  <si>
    <t>Fasit er tall, men svarene er intervaller/kategorier. Riktig kategori er godkjent.</t>
  </si>
  <si>
    <t>I</t>
  </si>
  <si>
    <t>Ghana var fasit; 'Annen' godtas fordi Ghana ikke lå som synlig svaralternativ i besvarelsene.</t>
  </si>
  <si>
    <t>J</t>
  </si>
  <si>
    <t>Fasit har stavefeil ('Tyrikia'); 'Tyrkia' godtas.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</si>
  <si>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</si>
  <si>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</si>
  <si>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</si>
  <si>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</si>
  <si>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</si>
  <si>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</si>
  <si>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</si>
  <si>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</si>
  <si>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</si>
  <si>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</si>
  <si>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</si>
  <si>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</si>
  <si>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Ikke avgjort / ikke poengsatt</t>
  </si>
  <si>
    <t>X</t>
  </si>
  <si>
    <t>Y</t>
  </si>
  <si>
    <t>Z</t>
  </si>
  <si>
    <t>AA</t>
  </si>
  <si>
    <t>Flere riktige svar godtas: Australia og Japan.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</si>
  <si>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</si>
  <si>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</si>
  <si>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</si>
  <si>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</si>
  <si>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</si>
  <si>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</si>
  <si>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</si>
  <si>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</si>
  <si>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</si>
  <si>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</si>
  <si>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</si>
  <si>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</si>
  <si>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</si>
  <si>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</si>
  <si>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</si>
  <si>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</si>
  <si>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</si>
  <si>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</si>
  <si>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</si>
  <si>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</si>
  <si>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</si>
  <si>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</si>
  <si>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</si>
  <si>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</si>
  <si>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</si>
  <si>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</si>
  <si>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</si>
  <si>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</si>
  <si>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</si>
  <si>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</si>
  <si>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</si>
  <si>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</si>
  <si>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</si>
  <si>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</si>
  <si>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</si>
  <si>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</si>
  <si>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</si>
  <si>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</si>
  <si>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</si>
  <si>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</si>
  <si>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</si>
  <si>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</si>
  <si>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</si>
  <si>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</si>
  <si>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</si>
  <si>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Mads Conradi</t>
  </si>
  <si>
    <t>Summerer 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</si>
</sst>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4"/>
      <name val="Carlito"/>
    </font>
    <font>
      <b/>
      <sz val="1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7C2D12"/>
      </patternFill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1"/>
  <sheetViews>
    <sheetView tabSelected="1" topLeftCell="F1" workbookViewId="0">
      <selection activeCell="G29" sqref="G29"/>
    </sheetView>
  </sheetViews>
  <sheetFormatPr baseColWidth="10" defaultColWidth="9" defaultRowHeight="14.25"/>
  <cols>
    <col min="1" max="1" width="2.875" hidden="1" customWidth="1"/>
    <col min="2" max="2" width="13.375" hidden="1" customWidth="1"/>
    <col min="3" max="3" width="13.625" hidden="1" customWidth="1"/>
    <col min="4" max="4" width="13.75" hidden="1" customWidth="1"/>
    <col min="5" max="5" width="5.5" hidden="1" customWidth="1"/>
    <col min="6" max="6" width="32.375" bestFit="1" customWidth="1"/>
    <col min="7" max="7" width="43.75" customWidth="1"/>
    <col min="8" max="8" width="23.125" style="10" bestFit="1" customWidth="1"/>
    <col min="9" max="9" width="6.625" style="10" bestFit="1" customWidth="1"/>
    <col min="10" max="10" width="21.125" style="10" bestFit="1" customWidth="1"/>
    <col min="11" max="11" width="6.625" style="10" bestFit="1" customWidth="1"/>
    <col min="12" max="12" width="21.375" style="10" bestFit="1" customWidth="1"/>
    <col min="13" max="13" width="7.125" style="10" bestFit="1" customWidth="1"/>
    <col min="14" max="14" width="23.5" style="10" bestFit="1" customWidth="1"/>
    <col min="15" max="15" width="8.5" style="10" bestFit="1" customWidth="1"/>
    <col min="16" max="16" width="23.625" style="10" bestFit="1" customWidth="1"/>
    <col min="17" max="17" width="6.75" style="10" bestFit="1" customWidth="1"/>
    <col min="18" max="18" width="18.25" style="10" bestFit="1" customWidth="1"/>
    <col min="19" max="19" width="6.625" style="10" bestFit="1" customWidth="1"/>
    <col min="20" max="20" width="20.875" style="10" bestFit="1" customWidth="1"/>
    <col min="21" max="21" width="6.625" style="10" bestFit="1" customWidth="1"/>
    <col min="22" max="22" width="15.75" style="10" bestFit="1" customWidth="1"/>
    <col min="23" max="23" width="8" style="10" bestFit="1" customWidth="1"/>
    <col min="24" max="24" width="20.75" style="10" bestFit="1" customWidth="1"/>
    <col min="25" max="25" width="7.75" style="10" bestFit="1" customWidth="1"/>
    <col min="26" max="26" width="14" style="10" bestFit="1" customWidth="1"/>
    <col min="27" max="27" width="8.75" style="10" bestFit="1" customWidth="1"/>
    <col min="28" max="28" width="20.625" style="10" bestFit="1" customWidth="1"/>
    <col min="29" max="29" width="6.625" style="10" bestFit="1" customWidth="1"/>
    <col min="30" max="30" width="19.625" style="10" bestFit="1" customWidth="1"/>
    <col min="31" max="31" width="6.625" style="10" bestFit="1" customWidth="1"/>
    <col min="32" max="32" width="19.625" style="10" bestFit="1" customWidth="1"/>
    <col min="33" max="33" width="6.625" style="10" bestFit="1" customWidth="1"/>
    <col min="34" max="34" width="22.5" style="10" bestFit="1" customWidth="1"/>
    <col min="35" max="35" width="6.625" style="10" bestFit="1" customWidth="1"/>
    <col min="36" max="36" width="23.5" style="10" bestFit="1" customWidth="1"/>
    <col min="37" max="37" width="6.625" style="10" bestFit="1" customWidth="1"/>
    <col min="38" max="38" width="21.625" style="10" bestFit="1" customWidth="1"/>
    <col min="39" max="39" width="6.625" style="10" bestFit="1" customWidth="1"/>
    <col min="40" max="40" width="18.375" style="10" bestFit="1" customWidth="1"/>
    <col min="41" max="41" width="7.125" style="10" bestFit="1" customWidth="1"/>
    <col min="42" max="42" width="19.75" style="10" bestFit="1" customWidth="1"/>
    <col min="43" max="43" width="7.125" style="10" bestFit="1" customWidth="1"/>
    <col min="44" max="44" width="19.375" style="10" bestFit="1" customWidth="1"/>
    <col min="45" max="45" width="7.125" style="10" bestFit="1" customWidth="1"/>
    <col min="46" max="46" width="21.75" style="10" bestFit="1" customWidth="1"/>
    <col min="47" max="47" width="7.125" style="10" bestFit="1" customWidth="1"/>
    <col min="48" max="48" width="19.375" style="10" bestFit="1" customWidth="1"/>
    <col min="49" max="49" width="9" style="10" customWidth="1"/>
    <col min="50" max="50" width="22" style="10" bestFit="1" customWidth="1"/>
    <col min="51" max="51" width="7.125" style="10" bestFit="1" customWidth="1"/>
    <col min="52" max="52" width="19" style="10" bestFit="1" customWidth="1"/>
    <col min="53" max="53" width="7.125" style="10" bestFit="1" customWidth="1"/>
    <col min="54" max="54" width="23.875" style="10" bestFit="1" customWidth="1"/>
    <col min="55" max="55" width="7.125" style="10" bestFit="1" customWidth="1"/>
    <col min="56" max="56" width="19.625" style="10" bestFit="1" customWidth="1"/>
    <col min="57" max="57" width="7.125" style="10" bestFit="1" customWidth="1"/>
    <col min="58" max="58" width="19" style="10" bestFit="1" customWidth="1"/>
    <col min="59" max="59" width="7.125" style="10" bestFit="1" customWidth="1"/>
    <col min="60" max="60" width="23.375" style="10" bestFit="1" customWidth="1"/>
    <col min="61" max="61" width="7.125" style="10" bestFit="1" customWidth="1"/>
    <col min="62" max="62" width="21.25" style="10" bestFit="1" customWidth="1"/>
    <col min="63" max="63" width="7.125" style="10" bestFit="1" customWidth="1"/>
    <col min="64" max="64" width="23.625" style="10" bestFit="1" customWidth="1"/>
    <col min="65" max="65" width="6.625" style="10" bestFit="1" customWidth="1"/>
    <col min="66" max="66" width="20.875" style="10" bestFit="1" customWidth="1"/>
    <col min="67" max="67" width="7.125" style="10" bestFit="1" customWidth="1"/>
    <col min="68" max="68" width="21.25" style="10" bestFit="1" customWidth="1"/>
    <col min="69" max="69" width="7.125" style="10" bestFit="1" customWidth="1"/>
    <col min="70" max="70" width="23" style="10" bestFit="1" customWidth="1"/>
    <col min="71" max="71" width="7.125" style="10" bestFit="1" customWidth="1"/>
    <col min="72" max="72" width="20" style="10" bestFit="1" customWidth="1"/>
    <col min="73" max="73" width="7.125" style="10" bestFit="1" customWidth="1"/>
    <col min="74" max="74" width="23.75" style="10" bestFit="1" customWidth="1"/>
    <col min="75" max="75" width="7.125" style="10" bestFit="1" customWidth="1"/>
    <col min="76" max="76" width="19.125" style="10" bestFit="1" customWidth="1"/>
    <col min="77" max="77" width="7.125" style="10" bestFit="1" customWidth="1"/>
    <col min="78" max="78" width="21.125" style="10" bestFit="1" customWidth="1"/>
    <col min="79" max="79" width="7.125" style="10" bestFit="1" customWidth="1"/>
    <col min="80" max="80" width="21.125" style="10" bestFit="1" customWidth="1"/>
    <col min="81" max="81" width="7.125" style="10" bestFit="1" customWidth="1"/>
    <col min="82" max="82" width="16.75" style="10" bestFit="1" customWidth="1"/>
    <col min="83" max="83" width="7.125" style="10" bestFit="1" customWidth="1"/>
    <col min="84" max="84" width="21.625" style="10" bestFit="1" customWidth="1"/>
    <col min="85" max="85" width="7.125" style="10" bestFit="1" customWidth="1"/>
    <col min="86" max="86" width="24" style="10" customWidth="1"/>
    <col min="87" max="87" width="7.125" style="10" bestFit="1" customWidth="1"/>
    <col min="88" max="88" width="22" style="10" bestFit="1" customWidth="1"/>
    <col min="89" max="89" width="7.125" style="10" bestFit="1" customWidth="1"/>
    <col min="90" max="90" width="22.875" style="10" bestFit="1" customWidth="1"/>
    <col min="91" max="91" width="7.125" style="10" bestFit="1" customWidth="1"/>
    <col min="92" max="92" width="19.75" style="10" bestFit="1" customWidth="1"/>
    <col min="93" max="93" width="7.125" style="10" bestFit="1" customWidth="1"/>
    <col min="94" max="94" width="23.375" style="10" bestFit="1" customWidth="1"/>
    <col min="95" max="95" width="7.125" style="10" bestFit="1" customWidth="1"/>
    <col min="96" max="96" width="23.625" style="10" bestFit="1" customWidth="1"/>
    <col min="97" max="97" width="7.125" style="10" bestFit="1" customWidth="1"/>
    <col min="98" max="98" width="21.875" style="10" bestFit="1" customWidth="1"/>
    <col min="99" max="99" width="6.625" style="10" bestFit="1" customWidth="1"/>
    <col min="100" max="100" width="22.25" style="10" bestFit="1" customWidth="1"/>
    <col min="101" max="101" width="7.125" style="10" bestFit="1" customWidth="1"/>
    <col min="102" max="102" width="23.875" style="10" bestFit="1" customWidth="1"/>
    <col min="103" max="103" width="7.125" style="10" bestFit="1" customWidth="1"/>
    <col min="104" max="104" width="21.625" style="10" bestFit="1" customWidth="1"/>
    <col min="105" max="105" width="6.625" style="10" bestFit="1" customWidth="1"/>
    <col min="106" max="106" width="22" style="10" bestFit="1" customWidth="1"/>
    <col min="107" max="107" width="7.125" style="10" bestFit="1" customWidth="1"/>
    <col min="108" max="108" width="17.75" style="10" bestFit="1" customWidth="1"/>
    <col min="109" max="109" width="6.625" style="10" bestFit="1" customWidth="1"/>
    <col min="110" max="110" width="21.875" style="10" bestFit="1" customWidth="1"/>
    <col min="111" max="111" width="6.625" style="10" bestFit="1" customWidth="1"/>
    <col min="112" max="112" width="23" style="10" bestFit="1" customWidth="1"/>
    <col min="113" max="113" width="8.125" style="10" bestFit="1" customWidth="1"/>
    <col min="114" max="114" width="21.625" style="10" bestFit="1" customWidth="1"/>
    <col min="115" max="115" width="7.125" style="10" bestFit="1" customWidth="1"/>
    <col min="116" max="116" width="21.875" style="10" bestFit="1" customWidth="1"/>
    <col min="117" max="117" width="7" style="10" bestFit="1" customWidth="1"/>
    <col min="118" max="118" width="19" style="10" bestFit="1" customWidth="1"/>
    <col min="119" max="119" width="7.125" style="10" bestFit="1" customWidth="1"/>
    <col min="120" max="120" width="19.875" style="10" bestFit="1" customWidth="1"/>
    <col min="121" max="121" width="6.625" style="10" bestFit="1" customWidth="1"/>
    <col min="122" max="122" width="23.875" style="10" bestFit="1" customWidth="1"/>
    <col min="123" max="123" width="7.875" style="10" bestFit="1" customWidth="1"/>
    <col min="124" max="124" width="17.75" style="10" bestFit="1" customWidth="1"/>
    <col min="125" max="125" width="7.125" style="10" bestFit="1" customWidth="1"/>
    <col min="126" max="126" width="23.125" style="10" bestFit="1" customWidth="1"/>
    <col min="127" max="127" width="7.125" style="10" bestFit="1" customWidth="1"/>
    <col min="128" max="128" width="20" style="10" bestFit="1" customWidth="1"/>
    <col min="129" max="129" width="6.625" style="10" bestFit="1" customWidth="1"/>
    <col min="130" max="130" width="21.75" style="10" bestFit="1" customWidth="1"/>
    <col min="131" max="131" width="7.125" style="10" bestFit="1" customWidth="1"/>
    <col min="132" max="132" width="22.75" style="10" bestFit="1" customWidth="1"/>
    <col min="133" max="133" width="7.125" style="10" bestFit="1" customWidth="1"/>
    <col min="134" max="134" width="19.375" style="10" bestFit="1" customWidth="1"/>
    <col min="135" max="135" width="8" style="10" bestFit="1" customWidth="1"/>
    <col min="136" max="136" width="21.625" style="10" bestFit="1" customWidth="1"/>
    <col min="137" max="137" width="6.625" style="10" bestFit="1" customWidth="1"/>
    <col min="138" max="138" width="21.25" style="10" bestFit="1" customWidth="1"/>
    <col min="139" max="139" width="7.125" style="10" bestFit="1" customWidth="1"/>
  </cols>
  <sheetData>
    <row r="1" spans="1:139" ht="60">
      <c r="A1" s="2" t="s">
        <v>0</v>
      </c>
      <c r="B1" s="2"/>
      <c r="C1" s="2"/>
      <c r="D1" s="2"/>
      <c r="E1" s="2"/>
      <c r="F1" s="2"/>
      <c r="G1" s="4" t="s">
        <v>344</v>
      </c>
      <c r="H1" s="2">
        <v>7</v>
      </c>
      <c r="I1" s="5" t="s">
        <v>1</v>
      </c>
      <c r="J1" s="2">
        <v>16</v>
      </c>
      <c r="K1" s="5" t="s">
        <v>2</v>
      </c>
      <c r="L1" s="2" t="s">
        <v>3</v>
      </c>
      <c r="M1" s="5" t="s">
        <v>4</v>
      </c>
      <c r="N1" s="2" t="s">
        <v>5</v>
      </c>
      <c r="O1" s="5" t="s">
        <v>5</v>
      </c>
      <c r="P1" s="2" t="s">
        <v>6</v>
      </c>
      <c r="Q1" s="5" t="s">
        <v>7</v>
      </c>
      <c r="R1" s="2">
        <v>2</v>
      </c>
      <c r="S1" s="5" t="s">
        <v>8</v>
      </c>
      <c r="T1" s="2">
        <v>6</v>
      </c>
      <c r="U1" s="5" t="s">
        <v>9</v>
      </c>
      <c r="V1" s="2">
        <v>215</v>
      </c>
      <c r="W1" s="5" t="s">
        <v>10</v>
      </c>
      <c r="X1" s="2" t="s">
        <v>11</v>
      </c>
      <c r="Y1" s="5" t="s">
        <v>12</v>
      </c>
      <c r="Z1" s="2">
        <v>12</v>
      </c>
      <c r="AA1" s="5" t="s">
        <v>13</v>
      </c>
      <c r="AB1" s="2">
        <v>4</v>
      </c>
      <c r="AC1" s="5" t="s">
        <v>14</v>
      </c>
      <c r="AD1" s="2">
        <v>4</v>
      </c>
      <c r="AE1" s="5" t="s">
        <v>14</v>
      </c>
      <c r="AF1" s="2">
        <v>3</v>
      </c>
      <c r="AG1" s="5" t="s">
        <v>15</v>
      </c>
      <c r="AH1" s="2">
        <v>3</v>
      </c>
      <c r="AI1" s="5" t="s">
        <v>15</v>
      </c>
      <c r="AJ1" s="2">
        <v>1</v>
      </c>
      <c r="AK1" s="5" t="s">
        <v>16</v>
      </c>
      <c r="AL1" s="2">
        <v>2</v>
      </c>
      <c r="AM1" s="5" t="s">
        <v>8</v>
      </c>
      <c r="AN1" s="2"/>
      <c r="AO1" s="5" t="s">
        <v>17</v>
      </c>
      <c r="AP1" s="2"/>
      <c r="AQ1" s="5" t="s">
        <v>17</v>
      </c>
      <c r="AR1" s="2"/>
      <c r="AS1" s="5" t="s">
        <v>17</v>
      </c>
      <c r="AT1" s="2"/>
      <c r="AU1" s="5" t="s">
        <v>17</v>
      </c>
      <c r="AV1" s="2" t="s">
        <v>18</v>
      </c>
      <c r="AW1" s="5" t="s">
        <v>19</v>
      </c>
      <c r="AX1" s="2"/>
      <c r="AY1" s="5" t="s">
        <v>17</v>
      </c>
      <c r="AZ1" s="2"/>
      <c r="BA1" s="5" t="s">
        <v>17</v>
      </c>
      <c r="BB1" s="2"/>
      <c r="BC1" s="5" t="s">
        <v>17</v>
      </c>
      <c r="BD1" s="2"/>
      <c r="BE1" s="5" t="s">
        <v>17</v>
      </c>
      <c r="BF1" s="2"/>
      <c r="BG1" s="5" t="s">
        <v>17</v>
      </c>
      <c r="BH1" s="2"/>
      <c r="BI1" s="5" t="s">
        <v>17</v>
      </c>
      <c r="BJ1" s="2"/>
      <c r="BK1" s="5" t="s">
        <v>17</v>
      </c>
      <c r="BL1" s="2" t="s">
        <v>20</v>
      </c>
      <c r="BM1" s="5" t="s">
        <v>20</v>
      </c>
      <c r="BN1" s="2"/>
      <c r="BO1" s="5" t="s">
        <v>17</v>
      </c>
      <c r="BP1" s="2"/>
      <c r="BQ1" s="5" t="s">
        <v>17</v>
      </c>
      <c r="BR1" s="2"/>
      <c r="BS1" s="5" t="s">
        <v>17</v>
      </c>
      <c r="BT1" s="2"/>
      <c r="BU1" s="5" t="s">
        <v>17</v>
      </c>
      <c r="BV1" s="2"/>
      <c r="BW1" s="5" t="s">
        <v>17</v>
      </c>
      <c r="BX1" s="2"/>
      <c r="BY1" s="5" t="s">
        <v>17</v>
      </c>
      <c r="BZ1" s="2"/>
      <c r="CA1" s="5" t="s">
        <v>17</v>
      </c>
      <c r="CB1" s="2"/>
      <c r="CC1" s="5" t="s">
        <v>17</v>
      </c>
      <c r="CD1" s="2"/>
      <c r="CE1" s="5" t="s">
        <v>17</v>
      </c>
      <c r="CF1" s="2"/>
      <c r="CG1" s="5" t="s">
        <v>17</v>
      </c>
      <c r="CH1" s="2"/>
      <c r="CI1" s="5" t="s">
        <v>17</v>
      </c>
      <c r="CJ1" s="2"/>
      <c r="CK1" s="5" t="s">
        <v>17</v>
      </c>
      <c r="CL1" s="2"/>
      <c r="CM1" s="5" t="s">
        <v>17</v>
      </c>
      <c r="CN1" s="2"/>
      <c r="CO1" s="5" t="s">
        <v>17</v>
      </c>
      <c r="CP1" s="2"/>
      <c r="CQ1" s="5" t="s">
        <v>17</v>
      </c>
      <c r="CR1" s="2"/>
      <c r="CS1" s="5" t="s">
        <v>17</v>
      </c>
      <c r="CT1" s="2" t="s">
        <v>21</v>
      </c>
      <c r="CU1" s="5" t="s">
        <v>21</v>
      </c>
      <c r="CV1" s="2"/>
      <c r="CW1" s="5" t="s">
        <v>17</v>
      </c>
      <c r="CX1" s="2"/>
      <c r="CY1" s="5" t="s">
        <v>17</v>
      </c>
      <c r="CZ1" s="2" t="s">
        <v>22</v>
      </c>
      <c r="DA1" s="5" t="s">
        <v>22</v>
      </c>
      <c r="DB1" s="2"/>
      <c r="DC1" s="5" t="s">
        <v>17</v>
      </c>
      <c r="DD1" s="2" t="s">
        <v>23</v>
      </c>
      <c r="DE1" s="5" t="s">
        <v>23</v>
      </c>
      <c r="DF1" s="2" t="s">
        <v>23</v>
      </c>
      <c r="DG1" s="5" t="s">
        <v>23</v>
      </c>
      <c r="DH1" s="2" t="s">
        <v>24</v>
      </c>
      <c r="DI1" s="5" t="s">
        <v>24</v>
      </c>
      <c r="DJ1" s="2"/>
      <c r="DK1" s="5" t="s">
        <v>17</v>
      </c>
      <c r="DL1" s="2" t="s">
        <v>25</v>
      </c>
      <c r="DM1" s="5" t="s">
        <v>25</v>
      </c>
      <c r="DN1" s="2"/>
      <c r="DO1" s="5" t="s">
        <v>17</v>
      </c>
      <c r="DP1" s="2" t="s">
        <v>26</v>
      </c>
      <c r="DQ1" s="5" t="s">
        <v>26</v>
      </c>
      <c r="DR1" s="2" t="s">
        <v>27</v>
      </c>
      <c r="DS1" s="5" t="s">
        <v>27</v>
      </c>
      <c r="DT1" s="2"/>
      <c r="DU1" s="5" t="s">
        <v>17</v>
      </c>
      <c r="DV1" s="2"/>
      <c r="DW1" s="5" t="s">
        <v>17</v>
      </c>
      <c r="DX1" s="2"/>
      <c r="DY1" s="5" t="s">
        <v>20</v>
      </c>
      <c r="DZ1" s="2"/>
      <c r="EA1" s="5" t="s">
        <v>17</v>
      </c>
      <c r="EB1" s="2"/>
      <c r="EC1" s="5" t="s">
        <v>17</v>
      </c>
      <c r="ED1" s="2" t="s">
        <v>28</v>
      </c>
      <c r="EE1" s="5" t="s">
        <v>28</v>
      </c>
      <c r="EF1" s="2" t="s">
        <v>29</v>
      </c>
      <c r="EG1" s="5" t="s">
        <v>29</v>
      </c>
      <c r="EH1" s="2"/>
      <c r="EI1" s="5" t="s">
        <v>17</v>
      </c>
    </row>
    <row r="2" spans="1:139" ht="7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4" t="s">
        <v>36</v>
      </c>
      <c r="H2" s="2" t="s">
        <v>37</v>
      </c>
      <c r="I2" s="5" t="s">
        <v>38</v>
      </c>
      <c r="J2" s="2" t="s">
        <v>39</v>
      </c>
      <c r="K2" s="5" t="s">
        <v>38</v>
      </c>
      <c r="L2" s="2" t="s">
        <v>40</v>
      </c>
      <c r="M2" s="5" t="s">
        <v>38</v>
      </c>
      <c r="N2" s="2" t="s">
        <v>41</v>
      </c>
      <c r="O2" s="5" t="s">
        <v>38</v>
      </c>
      <c r="P2" s="2" t="s">
        <v>42</v>
      </c>
      <c r="Q2" s="5" t="s">
        <v>38</v>
      </c>
      <c r="R2" s="2" t="s">
        <v>43</v>
      </c>
      <c r="S2" s="5" t="s">
        <v>38</v>
      </c>
      <c r="T2" s="2" t="s">
        <v>44</v>
      </c>
      <c r="U2" s="5" t="s">
        <v>38</v>
      </c>
      <c r="V2" s="2" t="s">
        <v>45</v>
      </c>
      <c r="W2" s="5" t="s">
        <v>38</v>
      </c>
      <c r="X2" s="2" t="s">
        <v>46</v>
      </c>
      <c r="Y2" s="5" t="s">
        <v>38</v>
      </c>
      <c r="Z2" s="2" t="s">
        <v>47</v>
      </c>
      <c r="AA2" s="5" t="s">
        <v>38</v>
      </c>
      <c r="AB2" s="2" t="s">
        <v>48</v>
      </c>
      <c r="AC2" s="5" t="s">
        <v>38</v>
      </c>
      <c r="AD2" s="2" t="s">
        <v>49</v>
      </c>
      <c r="AE2" s="5" t="s">
        <v>38</v>
      </c>
      <c r="AF2" s="2" t="s">
        <v>50</v>
      </c>
      <c r="AG2" s="5" t="s">
        <v>38</v>
      </c>
      <c r="AH2" s="2" t="s">
        <v>51</v>
      </c>
      <c r="AI2" s="5" t="s">
        <v>38</v>
      </c>
      <c r="AJ2" s="2" t="s">
        <v>52</v>
      </c>
      <c r="AK2" s="5" t="s">
        <v>38</v>
      </c>
      <c r="AL2" s="2" t="s">
        <v>53</v>
      </c>
      <c r="AM2" s="5" t="s">
        <v>38</v>
      </c>
      <c r="AN2" s="2" t="s">
        <v>54</v>
      </c>
      <c r="AO2" s="5" t="s">
        <v>38</v>
      </c>
      <c r="AP2" s="2" t="s">
        <v>55</v>
      </c>
      <c r="AQ2" s="5" t="s">
        <v>38</v>
      </c>
      <c r="AR2" s="2" t="s">
        <v>56</v>
      </c>
      <c r="AS2" s="5" t="s">
        <v>38</v>
      </c>
      <c r="AT2" s="2" t="s">
        <v>57</v>
      </c>
      <c r="AU2" s="5" t="s">
        <v>38</v>
      </c>
      <c r="AV2" s="2" t="s">
        <v>58</v>
      </c>
      <c r="AW2" s="5" t="s">
        <v>38</v>
      </c>
      <c r="AX2" s="2" t="s">
        <v>59</v>
      </c>
      <c r="AY2" s="5" t="s">
        <v>38</v>
      </c>
      <c r="AZ2" s="2" t="s">
        <v>60</v>
      </c>
      <c r="BA2" s="5" t="s">
        <v>38</v>
      </c>
      <c r="BB2" s="2" t="s">
        <v>61</v>
      </c>
      <c r="BC2" s="5" t="s">
        <v>38</v>
      </c>
      <c r="BD2" s="2" t="s">
        <v>62</v>
      </c>
      <c r="BE2" s="5" t="s">
        <v>38</v>
      </c>
      <c r="BF2" s="2" t="s">
        <v>63</v>
      </c>
      <c r="BG2" s="5" t="s">
        <v>38</v>
      </c>
      <c r="BH2" s="2" t="s">
        <v>64</v>
      </c>
      <c r="BI2" s="5" t="s">
        <v>38</v>
      </c>
      <c r="BJ2" s="2" t="s">
        <v>65</v>
      </c>
      <c r="BK2" s="5" t="s">
        <v>38</v>
      </c>
      <c r="BL2" s="2" t="s">
        <v>66</v>
      </c>
      <c r="BM2" s="5" t="s">
        <v>38</v>
      </c>
      <c r="BN2" s="2" t="s">
        <v>67</v>
      </c>
      <c r="BO2" s="5" t="s">
        <v>38</v>
      </c>
      <c r="BP2" s="2" t="s">
        <v>68</v>
      </c>
      <c r="BQ2" s="5" t="s">
        <v>38</v>
      </c>
      <c r="BR2" s="2" t="s">
        <v>69</v>
      </c>
      <c r="BS2" s="5" t="s">
        <v>38</v>
      </c>
      <c r="BT2" s="2" t="s">
        <v>70</v>
      </c>
      <c r="BU2" s="5" t="s">
        <v>38</v>
      </c>
      <c r="BV2" s="2" t="s">
        <v>71</v>
      </c>
      <c r="BW2" s="5" t="s">
        <v>38</v>
      </c>
      <c r="BX2" s="2" t="s">
        <v>72</v>
      </c>
      <c r="BY2" s="5" t="s">
        <v>38</v>
      </c>
      <c r="BZ2" s="2" t="s">
        <v>73</v>
      </c>
      <c r="CA2" s="5" t="s">
        <v>38</v>
      </c>
      <c r="CB2" s="2" t="s">
        <v>74</v>
      </c>
      <c r="CC2" s="5" t="s">
        <v>38</v>
      </c>
      <c r="CD2" s="2" t="s">
        <v>75</v>
      </c>
      <c r="CE2" s="5" t="s">
        <v>38</v>
      </c>
      <c r="CF2" s="2" t="s">
        <v>76</v>
      </c>
      <c r="CG2" s="5" t="s">
        <v>38</v>
      </c>
      <c r="CH2" s="2" t="s">
        <v>77</v>
      </c>
      <c r="CI2" s="5" t="s">
        <v>38</v>
      </c>
      <c r="CJ2" s="2" t="s">
        <v>78</v>
      </c>
      <c r="CK2" s="5" t="s">
        <v>38</v>
      </c>
      <c r="CL2" s="2" t="s">
        <v>79</v>
      </c>
      <c r="CM2" s="5" t="s">
        <v>38</v>
      </c>
      <c r="CN2" s="2" t="s">
        <v>80</v>
      </c>
      <c r="CO2" s="5" t="s">
        <v>38</v>
      </c>
      <c r="CP2" s="2" t="s">
        <v>81</v>
      </c>
      <c r="CQ2" s="5" t="s">
        <v>38</v>
      </c>
      <c r="CR2" s="2" t="s">
        <v>82</v>
      </c>
      <c r="CS2" s="5" t="s">
        <v>38</v>
      </c>
      <c r="CT2" s="2" t="s">
        <v>83</v>
      </c>
      <c r="CU2" s="5" t="s">
        <v>38</v>
      </c>
      <c r="CV2" s="2" t="s">
        <v>84</v>
      </c>
      <c r="CW2" s="5" t="s">
        <v>38</v>
      </c>
      <c r="CX2" s="2" t="s">
        <v>85</v>
      </c>
      <c r="CY2" s="5" t="s">
        <v>38</v>
      </c>
      <c r="CZ2" s="2" t="s">
        <v>86</v>
      </c>
      <c r="DA2" s="5" t="s">
        <v>38</v>
      </c>
      <c r="DB2" s="2" t="s">
        <v>87</v>
      </c>
      <c r="DC2" s="5" t="s">
        <v>38</v>
      </c>
      <c r="DD2" s="2" t="s">
        <v>88</v>
      </c>
      <c r="DE2" s="5" t="s">
        <v>38</v>
      </c>
      <c r="DF2" s="2" t="s">
        <v>89</v>
      </c>
      <c r="DG2" s="5" t="s">
        <v>38</v>
      </c>
      <c r="DH2" s="2" t="s">
        <v>90</v>
      </c>
      <c r="DI2" s="5" t="s">
        <v>38</v>
      </c>
      <c r="DJ2" s="2" t="s">
        <v>91</v>
      </c>
      <c r="DK2" s="5" t="s">
        <v>38</v>
      </c>
      <c r="DL2" s="2" t="s">
        <v>92</v>
      </c>
      <c r="DM2" s="5" t="s">
        <v>38</v>
      </c>
      <c r="DN2" s="2" t="s">
        <v>93</v>
      </c>
      <c r="DO2" s="5" t="s">
        <v>38</v>
      </c>
      <c r="DP2" s="2" t="s">
        <v>94</v>
      </c>
      <c r="DQ2" s="5" t="s">
        <v>38</v>
      </c>
      <c r="DR2" s="2" t="s">
        <v>95</v>
      </c>
      <c r="DS2" s="5" t="s">
        <v>38</v>
      </c>
      <c r="DT2" s="2" t="s">
        <v>96</v>
      </c>
      <c r="DU2" s="5" t="s">
        <v>38</v>
      </c>
      <c r="DV2" s="2" t="s">
        <v>97</v>
      </c>
      <c r="DW2" s="5" t="s">
        <v>38</v>
      </c>
      <c r="DX2" s="2" t="s">
        <v>98</v>
      </c>
      <c r="DY2" s="5" t="s">
        <v>38</v>
      </c>
      <c r="DZ2" s="2" t="s">
        <v>99</v>
      </c>
      <c r="EA2" s="5" t="s">
        <v>38</v>
      </c>
      <c r="EB2" s="2" t="s">
        <v>100</v>
      </c>
      <c r="EC2" s="5" t="s">
        <v>38</v>
      </c>
      <c r="ED2" s="2" t="s">
        <v>101</v>
      </c>
      <c r="EE2" s="5" t="s">
        <v>38</v>
      </c>
      <c r="EF2" s="2" t="s">
        <v>102</v>
      </c>
      <c r="EG2" s="5" t="s">
        <v>38</v>
      </c>
      <c r="EH2" s="2" t="s">
        <v>103</v>
      </c>
      <c r="EI2" s="5" t="s">
        <v>38</v>
      </c>
    </row>
    <row r="3" spans="1:139" ht="18">
      <c r="A3" s="3">
        <v>1</v>
      </c>
      <c r="B3" s="3">
        <v>46183.286099537036</v>
      </c>
      <c r="C3" s="3">
        <v>46183.298611111109</v>
      </c>
      <c r="D3" s="3" t="s">
        <v>104</v>
      </c>
      <c r="E3" s="3"/>
      <c r="F3" s="11" t="s">
        <v>343</v>
      </c>
      <c r="G3" s="12">
        <f>SUM(I3:EI3)</f>
        <v>11</v>
      </c>
      <c r="H3" s="8" t="s">
        <v>106</v>
      </c>
      <c r="I3" s="9">
        <f t="shared" ref="I3:I21" si="0">IF(OR(LOWER(TRIM(H3&amp;""))="7"),1,0)</f>
        <v>0</v>
      </c>
      <c r="J3" s="8" t="s">
        <v>107</v>
      </c>
      <c r="K3" s="9">
        <f t="shared" ref="K3:K21" si="1">IF(OR(LOWER(TRIM(J3&amp;""))="15+"),1,0)</f>
        <v>0</v>
      </c>
      <c r="L3" s="8" t="s">
        <v>108</v>
      </c>
      <c r="M3" s="9">
        <f t="shared" ref="M3:M21" si="2">IF(OR(LOWER(TRIM(L3&amp;""))="ghana",LOWER(TRIM(L3&amp;""))="annen"),1,0)</f>
        <v>0</v>
      </c>
      <c r="N3" s="8" t="s">
        <v>3</v>
      </c>
      <c r="O3" s="9">
        <f t="shared" ref="O3:O21" si="3">IF(OR(LOWER(TRIM(N3&amp;""))="bosnia-hercegovina"),1,0)</f>
        <v>0</v>
      </c>
      <c r="P3" s="8" t="s">
        <v>109</v>
      </c>
      <c r="Q3" s="9">
        <f t="shared" ref="Q3:Q21" si="4">IF(OR(LOWER(TRIM(P3&amp;""))="tyrkia",LOWER(TRIM(P3&amp;""))="tyrikia"),1,0)</f>
        <v>0</v>
      </c>
      <c r="R3" s="8" t="s">
        <v>8</v>
      </c>
      <c r="S3" s="9">
        <f t="shared" ref="S3:S21" si="5">IF(OR(LOWER(TRIM(R3&amp;""))="2"),1,0)</f>
        <v>1</v>
      </c>
      <c r="T3" s="8" t="s">
        <v>9</v>
      </c>
      <c r="U3" s="9">
        <f t="shared" ref="U3:U21" si="6">IF(OR(LOWER(TRIM(T3&amp;""))="6+"),1,0)</f>
        <v>1</v>
      </c>
      <c r="V3" s="8" t="s">
        <v>110</v>
      </c>
      <c r="W3" s="9">
        <f t="shared" ref="W3:W21" si="7">IF(OR(LOWER(TRIM(V3&amp;""))="201-250",LOWER(TRIM(V3&amp;""))="215"),1,0)</f>
        <v>0</v>
      </c>
      <c r="X3" s="8" t="s">
        <v>8</v>
      </c>
      <c r="Y3" s="9">
        <f t="shared" ref="Y3:Y21" si="8">IF(OR(LOWER(TRIM(X3&amp;""))="1",LOWER(TRIM(X3&amp;""))="1 - panama"),1,0)</f>
        <v>0</v>
      </c>
      <c r="Z3" s="8" t="s">
        <v>111</v>
      </c>
      <c r="AA3" s="9">
        <f t="shared" ref="AA3:AA21" si="9">IF(OR(LOWER(TRIM(Z3&amp;""))="flere enn 2",LOWER(TRIM(Z3&amp;""))="12"),1,0)</f>
        <v>1</v>
      </c>
      <c r="AB3" s="8" t="s">
        <v>16</v>
      </c>
      <c r="AC3" s="9">
        <f t="shared" ref="AC3:AC21" si="10">IF(OR(LOWER(TRIM(AB3&amp;""))="4"),1,0)</f>
        <v>0</v>
      </c>
      <c r="AD3" s="8" t="s">
        <v>14</v>
      </c>
      <c r="AE3" s="9">
        <f t="shared" ref="AE3:AE21" si="11">IF(OR(LOWER(TRIM(AD3&amp;""))="4"),1,0)</f>
        <v>1</v>
      </c>
      <c r="AF3" s="8" t="s">
        <v>15</v>
      </c>
      <c r="AG3" s="9">
        <f t="shared" ref="AG3:AG21" si="12">IF(OR(LOWER(TRIM(AF3&amp;""))="3"),1,0)</f>
        <v>1</v>
      </c>
      <c r="AH3" s="8" t="s">
        <v>16</v>
      </c>
      <c r="AI3" s="9">
        <f t="shared" ref="AI3:AI21" si="13">IF(OR(LOWER(TRIM(AH3&amp;""))="3"),1,0)</f>
        <v>0</v>
      </c>
      <c r="AJ3" s="8" t="s">
        <v>16</v>
      </c>
      <c r="AK3" s="9">
        <f t="shared" ref="AK3:AK21" si="14">IF(OR(LOWER(TRIM(AJ3&amp;""))="1"),1,0)</f>
        <v>1</v>
      </c>
      <c r="AL3" s="8" t="s">
        <v>16</v>
      </c>
      <c r="AM3" s="9">
        <f t="shared" ref="AM3:AM21" si="15">IF(OR(LOWER(TRIM(AL3&amp;""))="2"),1,0)</f>
        <v>0</v>
      </c>
      <c r="AN3" s="8" t="s">
        <v>112</v>
      </c>
      <c r="AO3" s="9"/>
      <c r="AP3" s="8" t="s">
        <v>113</v>
      </c>
      <c r="AQ3" s="9"/>
      <c r="AR3" s="8" t="s">
        <v>114</v>
      </c>
      <c r="AS3" s="9"/>
      <c r="AT3" s="8" t="s">
        <v>115</v>
      </c>
      <c r="AU3" s="9"/>
      <c r="AV3" s="8" t="s">
        <v>116</v>
      </c>
      <c r="AW3" s="9">
        <f t="shared" ref="AW3:AW21" si="16">IF(OR(LOWER(TRIM(AV3&amp;""))="australia",LOWER(TRIM(AV3&amp;""))="japan",LOWER(TRIM(AV3&amp;""))="australia og japan"),1,0)</f>
        <v>0</v>
      </c>
      <c r="AX3" s="8" t="s">
        <v>117</v>
      </c>
      <c r="AY3" s="9"/>
      <c r="AZ3" s="8" t="s">
        <v>26</v>
      </c>
      <c r="BA3" s="9"/>
      <c r="BB3" s="8" t="s">
        <v>14</v>
      </c>
      <c r="BC3" s="9"/>
      <c r="BD3" s="8" t="s">
        <v>118</v>
      </c>
      <c r="BE3" s="9"/>
      <c r="BF3" s="8" t="s">
        <v>26</v>
      </c>
      <c r="BG3" s="9"/>
      <c r="BH3" s="8" t="s">
        <v>26</v>
      </c>
      <c r="BI3" s="9"/>
      <c r="BJ3" s="8" t="s">
        <v>26</v>
      </c>
      <c r="BK3" s="9"/>
      <c r="BL3" s="8" t="s">
        <v>26</v>
      </c>
      <c r="BM3" s="9">
        <f t="shared" ref="BM3:BM21" si="17">IF(OR(LOWER(TRIM(BL3&amp;""))="nei"),1,0)</f>
        <v>0</v>
      </c>
      <c r="BN3" s="8" t="s">
        <v>119</v>
      </c>
      <c r="BO3" s="9"/>
      <c r="BP3" s="8" t="s">
        <v>120</v>
      </c>
      <c r="BQ3" s="9"/>
      <c r="BR3" s="8" t="s">
        <v>121</v>
      </c>
      <c r="BS3" s="9"/>
      <c r="BT3" s="8" t="s">
        <v>122</v>
      </c>
      <c r="BU3" s="9"/>
      <c r="BV3" s="8" t="s">
        <v>123</v>
      </c>
      <c r="BW3" s="9"/>
      <c r="BX3" s="8" t="s">
        <v>124</v>
      </c>
      <c r="BY3" s="9"/>
      <c r="BZ3" s="8" t="s">
        <v>125</v>
      </c>
      <c r="CA3" s="9"/>
      <c r="CB3" s="8" t="s">
        <v>113</v>
      </c>
      <c r="CC3" s="9"/>
      <c r="CD3" s="8" t="s">
        <v>113</v>
      </c>
      <c r="CE3" s="9"/>
      <c r="CF3" s="8" t="s">
        <v>126</v>
      </c>
      <c r="CG3" s="9"/>
      <c r="CH3" s="8" t="s">
        <v>26</v>
      </c>
      <c r="CI3" s="9"/>
      <c r="CJ3" s="8" t="s">
        <v>1</v>
      </c>
      <c r="CK3" s="9"/>
      <c r="CL3" s="8" t="s">
        <v>127</v>
      </c>
      <c r="CM3" s="9"/>
      <c r="CN3" s="8" t="s">
        <v>128</v>
      </c>
      <c r="CO3" s="9"/>
      <c r="CP3" s="8" t="s">
        <v>129</v>
      </c>
      <c r="CQ3" s="9"/>
      <c r="CR3" s="8" t="s">
        <v>130</v>
      </c>
      <c r="CS3" s="9"/>
      <c r="CT3" s="8" t="s">
        <v>131</v>
      </c>
      <c r="CU3" s="9">
        <f t="shared" ref="CU3:CU21" si="18">IF(OR(LOWER(TRIM(CT3&amp;""))="7 eller flere"),1,0)</f>
        <v>0</v>
      </c>
      <c r="CV3" s="8" t="s">
        <v>132</v>
      </c>
      <c r="CW3" s="9"/>
      <c r="CX3" s="8" t="s">
        <v>122</v>
      </c>
      <c r="CY3" s="9"/>
      <c r="CZ3" s="8" t="s">
        <v>22</v>
      </c>
      <c r="DA3" s="9">
        <f t="shared" ref="DA3:DA21" si="19">IF(OR(LOWER(TRIM(CZ3&amp;""))="9+"),1,0)</f>
        <v>1</v>
      </c>
      <c r="DB3" s="8" t="s">
        <v>133</v>
      </c>
      <c r="DC3" s="9"/>
      <c r="DD3" s="8" t="s">
        <v>23</v>
      </c>
      <c r="DE3" s="9">
        <f t="shared" ref="DE3:DE21" si="20">IF(OR(LOWER(TRIM(DD3&amp;""))="norge"),1,0)</f>
        <v>1</v>
      </c>
      <c r="DF3" s="8" t="s">
        <v>23</v>
      </c>
      <c r="DG3" s="9">
        <f t="shared" ref="DG3:DG21" si="21">IF(OR(LOWER(TRIM(DF3&amp;""))="norge"),1,0)</f>
        <v>1</v>
      </c>
      <c r="DH3" s="8" t="s">
        <v>134</v>
      </c>
      <c r="DI3" s="9">
        <f t="shared" ref="DI3:DI21" si="22">IF(OR(LOWER(TRIM(DH3&amp;""))="frankrike"),1,0)</f>
        <v>0</v>
      </c>
      <c r="DJ3" s="8" t="s">
        <v>135</v>
      </c>
      <c r="DK3" s="9"/>
      <c r="DL3" s="8" t="s">
        <v>136</v>
      </c>
      <c r="DM3" s="9">
        <f t="shared" ref="DM3:DM21" si="23">IF(OR(LOWER(TRIM(DL3&amp;""))="patrick berg"),1,0)</f>
        <v>0</v>
      </c>
      <c r="DN3" s="8" t="s">
        <v>26</v>
      </c>
      <c r="DO3" s="9"/>
      <c r="DP3" s="8" t="s">
        <v>20</v>
      </c>
      <c r="DQ3" s="9">
        <f t="shared" ref="DQ3:DQ21" si="24">IF(OR(LOWER(TRIM(DP3&amp;""))="ja"),1,0)</f>
        <v>0</v>
      </c>
      <c r="DR3" s="8" t="s">
        <v>137</v>
      </c>
      <c r="DS3" s="9">
        <f t="shared" ref="DS3:DS21" si="25">IF(OR(LOWER(TRIM(DR3&amp;""))="over 37"),1,0)</f>
        <v>0</v>
      </c>
      <c r="DT3" s="8" t="s">
        <v>138</v>
      </c>
      <c r="DU3" s="9"/>
      <c r="DV3" s="8" t="s">
        <v>8</v>
      </c>
      <c r="DW3" s="9"/>
      <c r="DX3" s="8" t="s">
        <v>20</v>
      </c>
      <c r="DY3" s="9">
        <v>1</v>
      </c>
      <c r="DZ3" s="8" t="s">
        <v>8</v>
      </c>
      <c r="EA3" s="9"/>
      <c r="EB3" s="8" t="s">
        <v>20</v>
      </c>
      <c r="EC3" s="9"/>
      <c r="ED3" s="8" t="s">
        <v>28</v>
      </c>
      <c r="EE3" s="9">
        <f t="shared" ref="EE3:EE21" si="26">IF(OR(LOWER(TRIM(ED3&amp;""))="haaland"),1,0)</f>
        <v>1</v>
      </c>
      <c r="EF3" s="8" t="s">
        <v>14</v>
      </c>
      <c r="EG3" s="9">
        <f t="shared" ref="EG3:EG21" si="27">IF(OR(LOWER(TRIM(EF3&amp;""))="5+"),1,0)</f>
        <v>0</v>
      </c>
      <c r="EH3" s="8" t="s">
        <v>139</v>
      </c>
      <c r="EI3" s="9"/>
    </row>
    <row r="4" spans="1:139" ht="18">
      <c r="A4" s="3">
        <v>2</v>
      </c>
      <c r="B4" s="3">
        <v>46183.438576388886</v>
      </c>
      <c r="C4" s="3">
        <v>46183.449004629627</v>
      </c>
      <c r="D4" s="3" t="s">
        <v>104</v>
      </c>
      <c r="E4" s="3"/>
      <c r="F4" s="11" t="s">
        <v>140</v>
      </c>
      <c r="G4" s="12">
        <f t="shared" ref="G4:G21" si="28">SUM(I4:EI4)</f>
        <v>7</v>
      </c>
      <c r="H4" s="8" t="s">
        <v>141</v>
      </c>
      <c r="I4" s="9">
        <f t="shared" si="0"/>
        <v>0</v>
      </c>
      <c r="J4" s="8" t="s">
        <v>142</v>
      </c>
      <c r="K4" s="9">
        <f t="shared" si="1"/>
        <v>0</v>
      </c>
      <c r="L4" s="8" t="s">
        <v>143</v>
      </c>
      <c r="M4" s="9">
        <f t="shared" si="2"/>
        <v>0</v>
      </c>
      <c r="N4" s="8" t="s">
        <v>108</v>
      </c>
      <c r="O4" s="9">
        <f t="shared" si="3"/>
        <v>0</v>
      </c>
      <c r="P4" s="8" t="s">
        <v>144</v>
      </c>
      <c r="Q4" s="9">
        <f t="shared" si="4"/>
        <v>0</v>
      </c>
      <c r="R4" s="8" t="s">
        <v>8</v>
      </c>
      <c r="S4" s="9">
        <f t="shared" si="5"/>
        <v>1</v>
      </c>
      <c r="T4" s="8" t="s">
        <v>145</v>
      </c>
      <c r="U4" s="9">
        <f t="shared" si="6"/>
        <v>0</v>
      </c>
      <c r="V4" s="8" t="s">
        <v>110</v>
      </c>
      <c r="W4" s="9">
        <f t="shared" si="7"/>
        <v>0</v>
      </c>
      <c r="X4" s="8" t="s">
        <v>8</v>
      </c>
      <c r="Y4" s="9">
        <f t="shared" si="8"/>
        <v>0</v>
      </c>
      <c r="Z4" s="8" t="s">
        <v>8</v>
      </c>
      <c r="AA4" s="9">
        <f t="shared" si="9"/>
        <v>0</v>
      </c>
      <c r="AB4" s="8" t="s">
        <v>8</v>
      </c>
      <c r="AC4" s="9">
        <f t="shared" si="10"/>
        <v>0</v>
      </c>
      <c r="AD4" s="8" t="s">
        <v>8</v>
      </c>
      <c r="AE4" s="9">
        <f t="shared" si="11"/>
        <v>0</v>
      </c>
      <c r="AF4" s="8" t="s">
        <v>8</v>
      </c>
      <c r="AG4" s="9">
        <f t="shared" si="12"/>
        <v>0</v>
      </c>
      <c r="AH4" s="8" t="s">
        <v>8</v>
      </c>
      <c r="AI4" s="9">
        <f t="shared" si="13"/>
        <v>0</v>
      </c>
      <c r="AJ4" s="8" t="s">
        <v>16</v>
      </c>
      <c r="AK4" s="9">
        <f t="shared" si="14"/>
        <v>1</v>
      </c>
      <c r="AL4" s="8" t="s">
        <v>8</v>
      </c>
      <c r="AM4" s="9">
        <f t="shared" si="15"/>
        <v>1</v>
      </c>
      <c r="AN4" s="8" t="s">
        <v>146</v>
      </c>
      <c r="AO4" s="9"/>
      <c r="AP4" s="8" t="s">
        <v>23</v>
      </c>
      <c r="AQ4" s="9"/>
      <c r="AR4" s="8" t="s">
        <v>147</v>
      </c>
      <c r="AS4" s="9"/>
      <c r="AT4" s="8" t="s">
        <v>115</v>
      </c>
      <c r="AU4" s="9"/>
      <c r="AV4" s="8" t="s">
        <v>148</v>
      </c>
      <c r="AW4" s="9">
        <f t="shared" si="16"/>
        <v>1</v>
      </c>
      <c r="AX4" s="8" t="s">
        <v>145</v>
      </c>
      <c r="AY4" s="9"/>
      <c r="AZ4" s="8" t="s">
        <v>26</v>
      </c>
      <c r="BA4" s="9"/>
      <c r="BB4" s="8" t="s">
        <v>8</v>
      </c>
      <c r="BC4" s="9"/>
      <c r="BD4" s="8" t="s">
        <v>14</v>
      </c>
      <c r="BE4" s="9"/>
      <c r="BF4" s="8" t="s">
        <v>26</v>
      </c>
      <c r="BG4" s="9"/>
      <c r="BH4" s="8" t="s">
        <v>26</v>
      </c>
      <c r="BI4" s="9"/>
      <c r="BJ4" s="8" t="s">
        <v>20</v>
      </c>
      <c r="BK4" s="9"/>
      <c r="BL4" s="8" t="s">
        <v>20</v>
      </c>
      <c r="BM4" s="9">
        <f t="shared" si="17"/>
        <v>1</v>
      </c>
      <c r="BN4" s="8" t="s">
        <v>149</v>
      </c>
      <c r="BO4" s="9"/>
      <c r="BP4" s="8" t="s">
        <v>150</v>
      </c>
      <c r="BQ4" s="9"/>
      <c r="BR4" s="8" t="s">
        <v>151</v>
      </c>
      <c r="BS4" s="9"/>
      <c r="BT4" s="8" t="s">
        <v>152</v>
      </c>
      <c r="BU4" s="9"/>
      <c r="BV4" s="8" t="s">
        <v>153</v>
      </c>
      <c r="BW4" s="9"/>
      <c r="BX4" s="8" t="s">
        <v>154</v>
      </c>
      <c r="BY4" s="9"/>
      <c r="BZ4" s="8" t="s">
        <v>24</v>
      </c>
      <c r="CA4" s="9"/>
      <c r="CB4" s="8" t="s">
        <v>115</v>
      </c>
      <c r="CC4" s="9"/>
      <c r="CD4" s="8" t="s">
        <v>115</v>
      </c>
      <c r="CE4" s="9"/>
      <c r="CF4" s="8" t="s">
        <v>126</v>
      </c>
      <c r="CG4" s="9"/>
      <c r="CH4" s="8" t="s">
        <v>26</v>
      </c>
      <c r="CI4" s="9"/>
      <c r="CJ4" s="8" t="s">
        <v>155</v>
      </c>
      <c r="CK4" s="9"/>
      <c r="CL4" s="8" t="s">
        <v>127</v>
      </c>
      <c r="CM4" s="9"/>
      <c r="CN4" s="8" t="s">
        <v>156</v>
      </c>
      <c r="CO4" s="9"/>
      <c r="CP4" s="8" t="s">
        <v>157</v>
      </c>
      <c r="CQ4" s="9"/>
      <c r="CR4" s="8" t="s">
        <v>14</v>
      </c>
      <c r="CS4" s="9"/>
      <c r="CT4" s="8" t="s">
        <v>158</v>
      </c>
      <c r="CU4" s="9">
        <f t="shared" si="18"/>
        <v>0</v>
      </c>
      <c r="CV4" s="8" t="s">
        <v>159</v>
      </c>
      <c r="CW4" s="9"/>
      <c r="CX4" s="8" t="s">
        <v>160</v>
      </c>
      <c r="CY4" s="9"/>
      <c r="CZ4" s="8" t="s">
        <v>161</v>
      </c>
      <c r="DA4" s="9">
        <f t="shared" si="19"/>
        <v>0</v>
      </c>
      <c r="DB4" s="8" t="s">
        <v>133</v>
      </c>
      <c r="DC4" s="9"/>
      <c r="DD4" s="8" t="s">
        <v>23</v>
      </c>
      <c r="DE4" s="9">
        <f t="shared" si="20"/>
        <v>1</v>
      </c>
      <c r="DF4" s="8" t="s">
        <v>23</v>
      </c>
      <c r="DG4" s="9">
        <f t="shared" si="21"/>
        <v>1</v>
      </c>
      <c r="DH4" s="8" t="s">
        <v>134</v>
      </c>
      <c r="DI4" s="9">
        <f t="shared" si="22"/>
        <v>0</v>
      </c>
      <c r="DJ4" s="8" t="s">
        <v>162</v>
      </c>
      <c r="DK4" s="9"/>
      <c r="DL4" s="8" t="s">
        <v>163</v>
      </c>
      <c r="DM4" s="9">
        <f t="shared" si="23"/>
        <v>0</v>
      </c>
      <c r="DN4" s="8" t="s">
        <v>20</v>
      </c>
      <c r="DO4" s="9"/>
      <c r="DP4" s="8" t="s">
        <v>20</v>
      </c>
      <c r="DQ4" s="9">
        <f t="shared" si="24"/>
        <v>0</v>
      </c>
      <c r="DR4" s="8" t="s">
        <v>164</v>
      </c>
      <c r="DS4" s="9">
        <f t="shared" si="25"/>
        <v>0</v>
      </c>
      <c r="DT4" s="8" t="s">
        <v>162</v>
      </c>
      <c r="DU4" s="9"/>
      <c r="DV4" s="8" t="s">
        <v>8</v>
      </c>
      <c r="DW4" s="9"/>
      <c r="DX4" s="8" t="s">
        <v>26</v>
      </c>
      <c r="DY4" s="9">
        <v>0</v>
      </c>
      <c r="DZ4" s="8" t="s">
        <v>8</v>
      </c>
      <c r="EA4" s="9"/>
      <c r="EB4" s="8" t="s">
        <v>26</v>
      </c>
      <c r="EC4" s="9"/>
      <c r="ED4" s="8" t="s">
        <v>165</v>
      </c>
      <c r="EE4" s="9">
        <f t="shared" si="26"/>
        <v>0</v>
      </c>
      <c r="EF4" s="8" t="s">
        <v>15</v>
      </c>
      <c r="EG4" s="9">
        <f t="shared" si="27"/>
        <v>0</v>
      </c>
      <c r="EH4" s="8" t="s">
        <v>166</v>
      </c>
      <c r="EI4" s="9"/>
    </row>
    <row r="5" spans="1:139" ht="18">
      <c r="A5" s="3">
        <v>3</v>
      </c>
      <c r="B5" s="3">
        <v>46183.439398148148</v>
      </c>
      <c r="C5" s="3">
        <v>46183.449652777781</v>
      </c>
      <c r="D5" s="3" t="s">
        <v>104</v>
      </c>
      <c r="E5" s="3"/>
      <c r="F5" s="11" t="s">
        <v>167</v>
      </c>
      <c r="G5" s="12">
        <f t="shared" si="28"/>
        <v>10</v>
      </c>
      <c r="H5" s="8" t="s">
        <v>106</v>
      </c>
      <c r="I5" s="9">
        <f t="shared" si="0"/>
        <v>0</v>
      </c>
      <c r="J5" s="8" t="s">
        <v>107</v>
      </c>
      <c r="K5" s="9">
        <f t="shared" si="1"/>
        <v>0</v>
      </c>
      <c r="L5" s="8" t="s">
        <v>168</v>
      </c>
      <c r="M5" s="9">
        <f t="shared" si="2"/>
        <v>0</v>
      </c>
      <c r="N5" s="8" t="s">
        <v>169</v>
      </c>
      <c r="O5" s="9">
        <f t="shared" si="3"/>
        <v>0</v>
      </c>
      <c r="P5" s="8" t="s">
        <v>170</v>
      </c>
      <c r="Q5" s="9">
        <f t="shared" si="4"/>
        <v>0</v>
      </c>
      <c r="R5" s="8" t="s">
        <v>8</v>
      </c>
      <c r="S5" s="9">
        <f t="shared" si="5"/>
        <v>1</v>
      </c>
      <c r="T5" s="8" t="s">
        <v>9</v>
      </c>
      <c r="U5" s="9">
        <f t="shared" si="6"/>
        <v>1</v>
      </c>
      <c r="V5" s="8" t="s">
        <v>171</v>
      </c>
      <c r="W5" s="9">
        <f t="shared" si="7"/>
        <v>0</v>
      </c>
      <c r="X5" s="8" t="s">
        <v>15</v>
      </c>
      <c r="Y5" s="9">
        <f t="shared" si="8"/>
        <v>0</v>
      </c>
      <c r="Z5" s="8" t="s">
        <v>111</v>
      </c>
      <c r="AA5" s="9">
        <f t="shared" si="9"/>
        <v>1</v>
      </c>
      <c r="AB5" s="8" t="s">
        <v>8</v>
      </c>
      <c r="AC5" s="9">
        <f t="shared" si="10"/>
        <v>0</v>
      </c>
      <c r="AD5" s="8" t="s">
        <v>8</v>
      </c>
      <c r="AE5" s="9">
        <f t="shared" si="11"/>
        <v>0</v>
      </c>
      <c r="AF5" s="8" t="s">
        <v>15</v>
      </c>
      <c r="AG5" s="9">
        <f t="shared" si="12"/>
        <v>1</v>
      </c>
      <c r="AH5" s="8" t="s">
        <v>16</v>
      </c>
      <c r="AI5" s="9">
        <f t="shared" si="13"/>
        <v>0</v>
      </c>
      <c r="AJ5" s="8" t="s">
        <v>8</v>
      </c>
      <c r="AK5" s="9">
        <f t="shared" si="14"/>
        <v>0</v>
      </c>
      <c r="AL5" s="8" t="s">
        <v>172</v>
      </c>
      <c r="AM5" s="9">
        <f t="shared" si="15"/>
        <v>0</v>
      </c>
      <c r="AN5" s="8" t="s">
        <v>112</v>
      </c>
      <c r="AO5" s="9"/>
      <c r="AP5" s="8" t="s">
        <v>125</v>
      </c>
      <c r="AQ5" s="9"/>
      <c r="AR5" s="8" t="s">
        <v>147</v>
      </c>
      <c r="AS5" s="9"/>
      <c r="AT5" s="8" t="s">
        <v>115</v>
      </c>
      <c r="AU5" s="9"/>
      <c r="AV5" s="8" t="s">
        <v>148</v>
      </c>
      <c r="AW5" s="9">
        <f t="shared" si="16"/>
        <v>1</v>
      </c>
      <c r="AX5" s="8" t="s">
        <v>14</v>
      </c>
      <c r="AY5" s="9"/>
      <c r="AZ5" s="8" t="s">
        <v>26</v>
      </c>
      <c r="BA5" s="9"/>
      <c r="BB5" s="8" t="s">
        <v>15</v>
      </c>
      <c r="BC5" s="9"/>
      <c r="BD5" s="8" t="s">
        <v>14</v>
      </c>
      <c r="BE5" s="9"/>
      <c r="BF5" s="8" t="s">
        <v>26</v>
      </c>
      <c r="BG5" s="9"/>
      <c r="BH5" s="8" t="s">
        <v>26</v>
      </c>
      <c r="BI5" s="9"/>
      <c r="BJ5" s="8" t="s">
        <v>20</v>
      </c>
      <c r="BK5" s="9"/>
      <c r="BL5" s="8" t="s">
        <v>26</v>
      </c>
      <c r="BM5" s="9">
        <f t="shared" si="17"/>
        <v>0</v>
      </c>
      <c r="BN5" s="8" t="s">
        <v>149</v>
      </c>
      <c r="BO5" s="9"/>
      <c r="BP5" s="8" t="s">
        <v>109</v>
      </c>
      <c r="BQ5" s="9"/>
      <c r="BR5" s="8" t="s">
        <v>121</v>
      </c>
      <c r="BS5" s="9"/>
      <c r="BT5" s="8" t="s">
        <v>152</v>
      </c>
      <c r="BU5" s="9"/>
      <c r="BV5" s="8" t="s">
        <v>109</v>
      </c>
      <c r="BW5" s="9"/>
      <c r="BX5" s="8" t="s">
        <v>173</v>
      </c>
      <c r="BY5" s="9"/>
      <c r="BZ5" s="8" t="s">
        <v>24</v>
      </c>
      <c r="CA5" s="9"/>
      <c r="CB5" s="8" t="s">
        <v>174</v>
      </c>
      <c r="CC5" s="9"/>
      <c r="CD5" s="8" t="s">
        <v>24</v>
      </c>
      <c r="CE5" s="9"/>
      <c r="CF5" s="8" t="s">
        <v>126</v>
      </c>
      <c r="CG5" s="9"/>
      <c r="CH5" s="8" t="s">
        <v>26</v>
      </c>
      <c r="CI5" s="9"/>
      <c r="CJ5" s="8" t="s">
        <v>175</v>
      </c>
      <c r="CK5" s="9"/>
      <c r="CL5" s="8" t="s">
        <v>176</v>
      </c>
      <c r="CM5" s="9"/>
      <c r="CN5" s="8" t="s">
        <v>156</v>
      </c>
      <c r="CO5" s="9"/>
      <c r="CP5" s="8" t="s">
        <v>157</v>
      </c>
      <c r="CQ5" s="9"/>
      <c r="CR5" s="8" t="s">
        <v>130</v>
      </c>
      <c r="CS5" s="9"/>
      <c r="CT5" s="8" t="s">
        <v>158</v>
      </c>
      <c r="CU5" s="9">
        <f t="shared" si="18"/>
        <v>0</v>
      </c>
      <c r="CV5" s="8" t="s">
        <v>159</v>
      </c>
      <c r="CW5" s="9"/>
      <c r="CX5" s="8" t="s">
        <v>152</v>
      </c>
      <c r="CY5" s="9"/>
      <c r="CZ5" s="8" t="s">
        <v>133</v>
      </c>
      <c r="DA5" s="9">
        <f t="shared" si="19"/>
        <v>0</v>
      </c>
      <c r="DB5" s="8" t="s">
        <v>177</v>
      </c>
      <c r="DC5" s="9"/>
      <c r="DD5" s="8" t="s">
        <v>23</v>
      </c>
      <c r="DE5" s="9">
        <f t="shared" si="20"/>
        <v>1</v>
      </c>
      <c r="DF5" s="8" t="s">
        <v>23</v>
      </c>
      <c r="DG5" s="9">
        <f t="shared" si="21"/>
        <v>1</v>
      </c>
      <c r="DH5" s="8" t="s">
        <v>24</v>
      </c>
      <c r="DI5" s="9">
        <f t="shared" si="22"/>
        <v>1</v>
      </c>
      <c r="DJ5" s="8" t="s">
        <v>178</v>
      </c>
      <c r="DK5" s="9"/>
      <c r="DL5" s="8" t="s">
        <v>179</v>
      </c>
      <c r="DM5" s="9">
        <f t="shared" si="23"/>
        <v>0</v>
      </c>
      <c r="DN5" s="8" t="s">
        <v>20</v>
      </c>
      <c r="DO5" s="9"/>
      <c r="DP5" s="8" t="s">
        <v>26</v>
      </c>
      <c r="DQ5" s="9">
        <f t="shared" si="24"/>
        <v>1</v>
      </c>
      <c r="DR5" s="8" t="s">
        <v>164</v>
      </c>
      <c r="DS5" s="9">
        <f t="shared" si="25"/>
        <v>0</v>
      </c>
      <c r="DT5" s="8" t="s">
        <v>138</v>
      </c>
      <c r="DU5" s="9"/>
      <c r="DV5" s="8" t="s">
        <v>111</v>
      </c>
      <c r="DW5" s="9"/>
      <c r="DX5" s="8" t="s">
        <v>26</v>
      </c>
      <c r="DY5" s="9">
        <v>0</v>
      </c>
      <c r="DZ5" s="8" t="s">
        <v>8</v>
      </c>
      <c r="EA5" s="9"/>
      <c r="EB5" s="8" t="s">
        <v>20</v>
      </c>
      <c r="EC5" s="9"/>
      <c r="ED5" s="8" t="s">
        <v>28</v>
      </c>
      <c r="EE5" s="9">
        <f t="shared" si="26"/>
        <v>1</v>
      </c>
      <c r="EF5" s="8" t="s">
        <v>8</v>
      </c>
      <c r="EG5" s="9">
        <f t="shared" si="27"/>
        <v>0</v>
      </c>
      <c r="EH5" s="8" t="s">
        <v>180</v>
      </c>
      <c r="EI5" s="9"/>
    </row>
    <row r="6" spans="1:139" ht="18">
      <c r="A6" s="3">
        <v>4</v>
      </c>
      <c r="B6" s="3">
        <v>46183.435682870368</v>
      </c>
      <c r="C6" s="3">
        <v>46183.459826388891</v>
      </c>
      <c r="D6" s="3" t="s">
        <v>104</v>
      </c>
      <c r="E6" s="3"/>
      <c r="F6" s="11" t="s">
        <v>181</v>
      </c>
      <c r="G6" s="12">
        <f t="shared" si="28"/>
        <v>14</v>
      </c>
      <c r="H6" s="8" t="s">
        <v>106</v>
      </c>
      <c r="I6" s="9">
        <f t="shared" si="0"/>
        <v>0</v>
      </c>
      <c r="J6" s="8" t="s">
        <v>142</v>
      </c>
      <c r="K6" s="9">
        <f t="shared" si="1"/>
        <v>0</v>
      </c>
      <c r="L6" s="8" t="s">
        <v>182</v>
      </c>
      <c r="M6" s="9">
        <f t="shared" si="2"/>
        <v>0</v>
      </c>
      <c r="N6" s="8" t="s">
        <v>5</v>
      </c>
      <c r="O6" s="9">
        <f t="shared" si="3"/>
        <v>1</v>
      </c>
      <c r="P6" s="8" t="s">
        <v>170</v>
      </c>
      <c r="Q6" s="9">
        <f t="shared" si="4"/>
        <v>0</v>
      </c>
      <c r="R6" s="8" t="s">
        <v>8</v>
      </c>
      <c r="S6" s="9">
        <f t="shared" si="5"/>
        <v>1</v>
      </c>
      <c r="T6" s="8" t="s">
        <v>145</v>
      </c>
      <c r="U6" s="9">
        <f t="shared" si="6"/>
        <v>0</v>
      </c>
      <c r="V6" s="8" t="s">
        <v>171</v>
      </c>
      <c r="W6" s="9">
        <f t="shared" si="7"/>
        <v>0</v>
      </c>
      <c r="X6" s="8" t="s">
        <v>16</v>
      </c>
      <c r="Y6" s="9">
        <f t="shared" si="8"/>
        <v>1</v>
      </c>
      <c r="Z6" s="8" t="s">
        <v>111</v>
      </c>
      <c r="AA6" s="9">
        <f t="shared" si="9"/>
        <v>1</v>
      </c>
      <c r="AB6" s="8" t="s">
        <v>8</v>
      </c>
      <c r="AC6" s="9">
        <f t="shared" si="10"/>
        <v>0</v>
      </c>
      <c r="AD6" s="8" t="s">
        <v>14</v>
      </c>
      <c r="AE6" s="9">
        <f t="shared" si="11"/>
        <v>1</v>
      </c>
      <c r="AF6" s="8" t="s">
        <v>15</v>
      </c>
      <c r="AG6" s="9">
        <f t="shared" si="12"/>
        <v>1</v>
      </c>
      <c r="AH6" s="8" t="s">
        <v>8</v>
      </c>
      <c r="AI6" s="9">
        <f t="shared" si="13"/>
        <v>0</v>
      </c>
      <c r="AJ6" s="8" t="s">
        <v>172</v>
      </c>
      <c r="AK6" s="9">
        <f t="shared" si="14"/>
        <v>0</v>
      </c>
      <c r="AL6" s="8" t="s">
        <v>16</v>
      </c>
      <c r="AM6" s="9">
        <f t="shared" si="15"/>
        <v>0</v>
      </c>
      <c r="AN6" s="8" t="s">
        <v>112</v>
      </c>
      <c r="AO6" s="9"/>
      <c r="AP6" s="8" t="s">
        <v>125</v>
      </c>
      <c r="AQ6" s="9"/>
      <c r="AR6" s="8" t="s">
        <v>183</v>
      </c>
      <c r="AS6" s="9"/>
      <c r="AT6" s="8" t="s">
        <v>184</v>
      </c>
      <c r="AU6" s="9"/>
      <c r="AV6" s="8" t="s">
        <v>148</v>
      </c>
      <c r="AW6" s="9">
        <f t="shared" si="16"/>
        <v>1</v>
      </c>
      <c r="AX6" s="8" t="s">
        <v>14</v>
      </c>
      <c r="AY6" s="9"/>
      <c r="AZ6" s="8" t="s">
        <v>26</v>
      </c>
      <c r="BA6" s="9"/>
      <c r="BB6" s="8" t="s">
        <v>15</v>
      </c>
      <c r="BC6" s="9"/>
      <c r="BD6" s="8" t="s">
        <v>118</v>
      </c>
      <c r="BE6" s="9"/>
      <c r="BF6" s="8" t="s">
        <v>26</v>
      </c>
      <c r="BG6" s="9"/>
      <c r="BH6" s="8" t="s">
        <v>26</v>
      </c>
      <c r="BI6" s="9"/>
      <c r="BJ6" s="8" t="s">
        <v>26</v>
      </c>
      <c r="BK6" s="9"/>
      <c r="BL6" s="8" t="s">
        <v>26</v>
      </c>
      <c r="BM6" s="9">
        <f t="shared" si="17"/>
        <v>0</v>
      </c>
      <c r="BN6" s="8" t="s">
        <v>109</v>
      </c>
      <c r="BO6" s="9"/>
      <c r="BP6" s="8" t="s">
        <v>109</v>
      </c>
      <c r="BQ6" s="9"/>
      <c r="BR6" s="8" t="s">
        <v>109</v>
      </c>
      <c r="BS6" s="9"/>
      <c r="BT6" s="8" t="s">
        <v>122</v>
      </c>
      <c r="BU6" s="9"/>
      <c r="BV6" s="8" t="s">
        <v>109</v>
      </c>
      <c r="BW6" s="9"/>
      <c r="BX6" s="8" t="s">
        <v>124</v>
      </c>
      <c r="BY6" s="9"/>
      <c r="BZ6" s="8" t="s">
        <v>184</v>
      </c>
      <c r="CA6" s="9"/>
      <c r="CB6" s="8" t="s">
        <v>184</v>
      </c>
      <c r="CC6" s="9"/>
      <c r="CD6" s="8" t="s">
        <v>184</v>
      </c>
      <c r="CE6" s="9"/>
      <c r="CF6" s="8" t="s">
        <v>126</v>
      </c>
      <c r="CG6" s="9"/>
      <c r="CH6" s="8" t="s">
        <v>20</v>
      </c>
      <c r="CI6" s="9"/>
      <c r="CJ6" s="8" t="s">
        <v>155</v>
      </c>
      <c r="CK6" s="9"/>
      <c r="CL6" s="8" t="s">
        <v>185</v>
      </c>
      <c r="CM6" s="9"/>
      <c r="CN6" s="8" t="s">
        <v>128</v>
      </c>
      <c r="CO6" s="9"/>
      <c r="CP6" s="8" t="s">
        <v>129</v>
      </c>
      <c r="CQ6" s="9"/>
      <c r="CR6" s="8" t="s">
        <v>130</v>
      </c>
      <c r="CS6" s="9"/>
      <c r="CT6" s="8" t="s">
        <v>21</v>
      </c>
      <c r="CU6" s="9">
        <f t="shared" si="18"/>
        <v>1</v>
      </c>
      <c r="CV6" s="8" t="s">
        <v>132</v>
      </c>
      <c r="CW6" s="9"/>
      <c r="CX6" s="8" t="s">
        <v>186</v>
      </c>
      <c r="CY6" s="9"/>
      <c r="CZ6" s="8" t="s">
        <v>22</v>
      </c>
      <c r="DA6" s="9">
        <f t="shared" si="19"/>
        <v>1</v>
      </c>
      <c r="DB6" s="8" t="s">
        <v>161</v>
      </c>
      <c r="DC6" s="9"/>
      <c r="DD6" s="8" t="s">
        <v>23</v>
      </c>
      <c r="DE6" s="9">
        <f t="shared" si="20"/>
        <v>1</v>
      </c>
      <c r="DF6" s="8" t="s">
        <v>134</v>
      </c>
      <c r="DG6" s="9">
        <f t="shared" si="21"/>
        <v>0</v>
      </c>
      <c r="DH6" s="8" t="s">
        <v>24</v>
      </c>
      <c r="DI6" s="9">
        <f t="shared" si="22"/>
        <v>1</v>
      </c>
      <c r="DJ6" s="8" t="s">
        <v>187</v>
      </c>
      <c r="DK6" s="9"/>
      <c r="DL6" s="8" t="s">
        <v>188</v>
      </c>
      <c r="DM6" s="9">
        <f t="shared" si="23"/>
        <v>0</v>
      </c>
      <c r="DN6" s="8" t="s">
        <v>20</v>
      </c>
      <c r="DO6" s="9"/>
      <c r="DP6" s="8" t="s">
        <v>20</v>
      </c>
      <c r="DQ6" s="9">
        <f t="shared" si="24"/>
        <v>0</v>
      </c>
      <c r="DR6" s="8" t="s">
        <v>27</v>
      </c>
      <c r="DS6" s="9">
        <f t="shared" si="25"/>
        <v>1</v>
      </c>
      <c r="DT6" s="8" t="s">
        <v>189</v>
      </c>
      <c r="DU6" s="9"/>
      <c r="DV6" s="8" t="s">
        <v>16</v>
      </c>
      <c r="DW6" s="9"/>
      <c r="DX6" s="8" t="s">
        <v>26</v>
      </c>
      <c r="DY6" s="9">
        <v>0</v>
      </c>
      <c r="DZ6" s="8" t="s">
        <v>15</v>
      </c>
      <c r="EA6" s="9"/>
      <c r="EB6" s="8" t="s">
        <v>20</v>
      </c>
      <c r="EC6" s="9"/>
      <c r="ED6" s="8" t="s">
        <v>28</v>
      </c>
      <c r="EE6" s="9">
        <f t="shared" si="26"/>
        <v>1</v>
      </c>
      <c r="EF6" s="8" t="s">
        <v>29</v>
      </c>
      <c r="EG6" s="9">
        <f t="shared" si="27"/>
        <v>1</v>
      </c>
      <c r="EH6" s="8" t="s">
        <v>190</v>
      </c>
      <c r="EI6" s="9"/>
    </row>
    <row r="7" spans="1:139" ht="18">
      <c r="A7" s="3">
        <v>5</v>
      </c>
      <c r="B7" s="3">
        <v>46183.458668981482</v>
      </c>
      <c r="C7" s="3">
        <v>46183.485567129632</v>
      </c>
      <c r="D7" s="3" t="s">
        <v>104</v>
      </c>
      <c r="E7" s="3"/>
      <c r="F7" s="11" t="s">
        <v>191</v>
      </c>
      <c r="G7" s="12">
        <f t="shared" si="28"/>
        <v>10</v>
      </c>
      <c r="H7" s="8" t="s">
        <v>141</v>
      </c>
      <c r="I7" s="9">
        <f t="shared" si="0"/>
        <v>0</v>
      </c>
      <c r="J7" s="8" t="s">
        <v>142</v>
      </c>
      <c r="K7" s="9">
        <f t="shared" si="1"/>
        <v>0</v>
      </c>
      <c r="L7" s="8" t="s">
        <v>108</v>
      </c>
      <c r="M7" s="9">
        <f t="shared" si="2"/>
        <v>0</v>
      </c>
      <c r="N7" s="8" t="s">
        <v>3</v>
      </c>
      <c r="O7" s="9">
        <f t="shared" si="3"/>
        <v>0</v>
      </c>
      <c r="P7" s="8" t="s">
        <v>192</v>
      </c>
      <c r="Q7" s="9">
        <f t="shared" si="4"/>
        <v>0</v>
      </c>
      <c r="R7" s="8" t="s">
        <v>8</v>
      </c>
      <c r="S7" s="9">
        <f t="shared" si="5"/>
        <v>1</v>
      </c>
      <c r="T7" s="8" t="s">
        <v>9</v>
      </c>
      <c r="U7" s="9">
        <f t="shared" si="6"/>
        <v>1</v>
      </c>
      <c r="V7" s="8" t="s">
        <v>171</v>
      </c>
      <c r="W7" s="9">
        <f t="shared" si="7"/>
        <v>0</v>
      </c>
      <c r="X7" s="8" t="s">
        <v>8</v>
      </c>
      <c r="Y7" s="9">
        <f t="shared" si="8"/>
        <v>0</v>
      </c>
      <c r="Z7" s="8" t="s">
        <v>8</v>
      </c>
      <c r="AA7" s="9">
        <f t="shared" si="9"/>
        <v>0</v>
      </c>
      <c r="AB7" s="8" t="s">
        <v>16</v>
      </c>
      <c r="AC7" s="9">
        <f t="shared" si="10"/>
        <v>0</v>
      </c>
      <c r="AD7" s="8" t="s">
        <v>8</v>
      </c>
      <c r="AE7" s="9">
        <f t="shared" si="11"/>
        <v>0</v>
      </c>
      <c r="AF7" s="8" t="s">
        <v>15</v>
      </c>
      <c r="AG7" s="9">
        <f t="shared" si="12"/>
        <v>1</v>
      </c>
      <c r="AH7" s="8" t="s">
        <v>172</v>
      </c>
      <c r="AI7" s="9">
        <f t="shared" si="13"/>
        <v>0</v>
      </c>
      <c r="AJ7" s="8" t="s">
        <v>172</v>
      </c>
      <c r="AK7" s="9">
        <f t="shared" si="14"/>
        <v>0</v>
      </c>
      <c r="AL7" s="8" t="s">
        <v>16</v>
      </c>
      <c r="AM7" s="9">
        <f t="shared" si="15"/>
        <v>0</v>
      </c>
      <c r="AN7" s="8" t="s">
        <v>112</v>
      </c>
      <c r="AO7" s="9"/>
      <c r="AP7" s="8" t="s">
        <v>24</v>
      </c>
      <c r="AQ7" s="9"/>
      <c r="AR7" s="8" t="s">
        <v>147</v>
      </c>
      <c r="AS7" s="9"/>
      <c r="AT7" s="8" t="s">
        <v>184</v>
      </c>
      <c r="AU7" s="9"/>
      <c r="AV7" s="8" t="s">
        <v>148</v>
      </c>
      <c r="AW7" s="9">
        <f t="shared" si="16"/>
        <v>1</v>
      </c>
      <c r="AX7" s="8" t="s">
        <v>14</v>
      </c>
      <c r="AY7" s="9"/>
      <c r="AZ7" s="8" t="s">
        <v>26</v>
      </c>
      <c r="BA7" s="9"/>
      <c r="BB7" s="8" t="s">
        <v>8</v>
      </c>
      <c r="BC7" s="9"/>
      <c r="BD7" s="8" t="s">
        <v>15</v>
      </c>
      <c r="BE7" s="9"/>
      <c r="BF7" s="8" t="s">
        <v>26</v>
      </c>
      <c r="BG7" s="9"/>
      <c r="BH7" s="8" t="s">
        <v>26</v>
      </c>
      <c r="BI7" s="9"/>
      <c r="BJ7" s="8" t="s">
        <v>26</v>
      </c>
      <c r="BK7" s="9"/>
      <c r="BL7" s="8" t="s">
        <v>20</v>
      </c>
      <c r="BM7" s="9">
        <f t="shared" si="17"/>
        <v>1</v>
      </c>
      <c r="BN7" s="8" t="s">
        <v>109</v>
      </c>
      <c r="BO7" s="9"/>
      <c r="BP7" s="8" t="s">
        <v>150</v>
      </c>
      <c r="BQ7" s="9"/>
      <c r="BR7" s="8" t="s">
        <v>151</v>
      </c>
      <c r="BS7" s="9"/>
      <c r="BT7" s="8" t="s">
        <v>160</v>
      </c>
      <c r="BU7" s="9"/>
      <c r="BV7" s="8" t="s">
        <v>193</v>
      </c>
      <c r="BW7" s="9"/>
      <c r="BX7" s="8" t="s">
        <v>124</v>
      </c>
      <c r="BY7" s="9"/>
      <c r="BZ7" s="8" t="s">
        <v>24</v>
      </c>
      <c r="CA7" s="9"/>
      <c r="CB7" s="8" t="s">
        <v>144</v>
      </c>
      <c r="CC7" s="9"/>
      <c r="CD7" s="8" t="s">
        <v>24</v>
      </c>
      <c r="CE7" s="9"/>
      <c r="CF7" s="8" t="s">
        <v>126</v>
      </c>
      <c r="CG7" s="9"/>
      <c r="CH7" s="8" t="s">
        <v>20</v>
      </c>
      <c r="CI7" s="9"/>
      <c r="CJ7" s="8" t="s">
        <v>175</v>
      </c>
      <c r="CK7" s="9"/>
      <c r="CL7" s="8" t="s">
        <v>176</v>
      </c>
      <c r="CM7" s="9"/>
      <c r="CN7" s="8" t="s">
        <v>156</v>
      </c>
      <c r="CO7" s="9"/>
      <c r="CP7" s="8" t="s">
        <v>157</v>
      </c>
      <c r="CQ7" s="9"/>
      <c r="CR7" s="8" t="s">
        <v>15</v>
      </c>
      <c r="CS7" s="9"/>
      <c r="CT7" s="8" t="s">
        <v>158</v>
      </c>
      <c r="CU7" s="9">
        <f t="shared" si="18"/>
        <v>0</v>
      </c>
      <c r="CV7" s="8" t="s">
        <v>159</v>
      </c>
      <c r="CW7" s="9"/>
      <c r="CX7" s="8" t="s">
        <v>152</v>
      </c>
      <c r="CY7" s="9"/>
      <c r="CZ7" s="8" t="s">
        <v>161</v>
      </c>
      <c r="DA7" s="9">
        <f t="shared" si="19"/>
        <v>0</v>
      </c>
      <c r="DB7" s="8" t="s">
        <v>133</v>
      </c>
      <c r="DC7" s="9"/>
      <c r="DD7" s="8" t="s">
        <v>23</v>
      </c>
      <c r="DE7" s="9">
        <f t="shared" si="20"/>
        <v>1</v>
      </c>
      <c r="DF7" s="8" t="s">
        <v>23</v>
      </c>
      <c r="DG7" s="9">
        <f t="shared" si="21"/>
        <v>1</v>
      </c>
      <c r="DH7" s="8" t="s">
        <v>24</v>
      </c>
      <c r="DI7" s="9">
        <f t="shared" si="22"/>
        <v>1</v>
      </c>
      <c r="DJ7" s="8" t="s">
        <v>194</v>
      </c>
      <c r="DK7" s="9"/>
      <c r="DL7" s="8" t="s">
        <v>163</v>
      </c>
      <c r="DM7" s="9">
        <f t="shared" si="23"/>
        <v>0</v>
      </c>
      <c r="DN7" s="8" t="s">
        <v>20</v>
      </c>
      <c r="DO7" s="9"/>
      <c r="DP7" s="8" t="s">
        <v>26</v>
      </c>
      <c r="DQ7" s="9">
        <f t="shared" si="24"/>
        <v>1</v>
      </c>
      <c r="DR7" s="8" t="s">
        <v>137</v>
      </c>
      <c r="DS7" s="9">
        <f t="shared" si="25"/>
        <v>0</v>
      </c>
      <c r="DT7" s="8" t="s">
        <v>138</v>
      </c>
      <c r="DU7" s="9"/>
      <c r="DV7" s="8" t="s">
        <v>16</v>
      </c>
      <c r="DW7" s="9"/>
      <c r="DX7" s="8" t="s">
        <v>26</v>
      </c>
      <c r="DY7" s="9">
        <v>0</v>
      </c>
      <c r="DZ7" s="8" t="s">
        <v>16</v>
      </c>
      <c r="EA7" s="9"/>
      <c r="EB7" s="8" t="s">
        <v>20</v>
      </c>
      <c r="EC7" s="9"/>
      <c r="ED7" s="8" t="s">
        <v>28</v>
      </c>
      <c r="EE7" s="9">
        <f t="shared" si="26"/>
        <v>1</v>
      </c>
      <c r="EF7" s="8" t="s">
        <v>15</v>
      </c>
      <c r="EG7" s="9">
        <f t="shared" si="27"/>
        <v>0</v>
      </c>
      <c r="EH7" s="8" t="s">
        <v>195</v>
      </c>
      <c r="EI7" s="9"/>
    </row>
    <row r="8" spans="1:139" ht="18">
      <c r="A8" s="3">
        <v>6</v>
      </c>
      <c r="B8" s="3">
        <v>46183.496180555558</v>
      </c>
      <c r="C8" s="3">
        <v>46183.502523148149</v>
      </c>
      <c r="D8" s="3" t="s">
        <v>104</v>
      </c>
      <c r="E8" s="3"/>
      <c r="F8" s="11" t="s">
        <v>196</v>
      </c>
      <c r="G8" s="12">
        <f t="shared" si="28"/>
        <v>12</v>
      </c>
      <c r="H8" s="8" t="s">
        <v>106</v>
      </c>
      <c r="I8" s="9">
        <f t="shared" si="0"/>
        <v>0</v>
      </c>
      <c r="J8" s="8" t="s">
        <v>142</v>
      </c>
      <c r="K8" s="9">
        <f t="shared" si="1"/>
        <v>0</v>
      </c>
      <c r="L8" s="8" t="s">
        <v>108</v>
      </c>
      <c r="M8" s="9">
        <f t="shared" si="2"/>
        <v>0</v>
      </c>
      <c r="N8" s="8" t="s">
        <v>3</v>
      </c>
      <c r="O8" s="9">
        <f t="shared" si="3"/>
        <v>0</v>
      </c>
      <c r="P8" s="8" t="s">
        <v>197</v>
      </c>
      <c r="Q8" s="9">
        <f t="shared" si="4"/>
        <v>0</v>
      </c>
      <c r="R8" s="8" t="s">
        <v>8</v>
      </c>
      <c r="S8" s="9">
        <f t="shared" si="5"/>
        <v>1</v>
      </c>
      <c r="T8" s="8" t="s">
        <v>9</v>
      </c>
      <c r="U8" s="9">
        <f t="shared" si="6"/>
        <v>1</v>
      </c>
      <c r="V8" s="8" t="s">
        <v>171</v>
      </c>
      <c r="W8" s="9">
        <f t="shared" si="7"/>
        <v>0</v>
      </c>
      <c r="X8" s="8" t="s">
        <v>8</v>
      </c>
      <c r="Y8" s="9">
        <f t="shared" si="8"/>
        <v>0</v>
      </c>
      <c r="Z8" s="8" t="s">
        <v>8</v>
      </c>
      <c r="AA8" s="9">
        <f t="shared" si="9"/>
        <v>0</v>
      </c>
      <c r="AB8" s="8" t="s">
        <v>16</v>
      </c>
      <c r="AC8" s="9">
        <f t="shared" si="10"/>
        <v>0</v>
      </c>
      <c r="AD8" s="8" t="s">
        <v>15</v>
      </c>
      <c r="AE8" s="9">
        <f t="shared" si="11"/>
        <v>0</v>
      </c>
      <c r="AF8" s="8" t="s">
        <v>14</v>
      </c>
      <c r="AG8" s="9">
        <f t="shared" si="12"/>
        <v>0</v>
      </c>
      <c r="AH8" s="8" t="s">
        <v>8</v>
      </c>
      <c r="AI8" s="9">
        <f t="shared" si="13"/>
        <v>0</v>
      </c>
      <c r="AJ8" s="8" t="s">
        <v>16</v>
      </c>
      <c r="AK8" s="9">
        <f t="shared" si="14"/>
        <v>1</v>
      </c>
      <c r="AL8" s="8" t="s">
        <v>16</v>
      </c>
      <c r="AM8" s="9">
        <f t="shared" si="15"/>
        <v>0</v>
      </c>
      <c r="AN8" s="8" t="s">
        <v>198</v>
      </c>
      <c r="AO8" s="9"/>
      <c r="AP8" s="8" t="s">
        <v>125</v>
      </c>
      <c r="AQ8" s="9"/>
      <c r="AR8" s="8" t="s">
        <v>147</v>
      </c>
      <c r="AS8" s="9"/>
      <c r="AT8" s="8" t="s">
        <v>184</v>
      </c>
      <c r="AU8" s="9"/>
      <c r="AV8" s="8" t="s">
        <v>148</v>
      </c>
      <c r="AW8" s="9">
        <f t="shared" si="16"/>
        <v>1</v>
      </c>
      <c r="AX8" s="8" t="s">
        <v>14</v>
      </c>
      <c r="AY8" s="9"/>
      <c r="AZ8" s="8" t="s">
        <v>26</v>
      </c>
      <c r="BA8" s="9"/>
      <c r="BB8" s="8" t="s">
        <v>16</v>
      </c>
      <c r="BC8" s="9"/>
      <c r="BD8" s="8" t="s">
        <v>15</v>
      </c>
      <c r="BE8" s="9"/>
      <c r="BF8" s="8" t="s">
        <v>26</v>
      </c>
      <c r="BG8" s="9"/>
      <c r="BH8" s="8" t="s">
        <v>26</v>
      </c>
      <c r="BI8" s="9"/>
      <c r="BJ8" s="8" t="s">
        <v>26</v>
      </c>
      <c r="BK8" s="9"/>
      <c r="BL8" s="8" t="s">
        <v>20</v>
      </c>
      <c r="BM8" s="9">
        <f t="shared" si="17"/>
        <v>1</v>
      </c>
      <c r="BN8" s="8" t="s">
        <v>199</v>
      </c>
      <c r="BO8" s="9"/>
      <c r="BP8" s="8" t="s">
        <v>199</v>
      </c>
      <c r="BQ8" s="9"/>
      <c r="BR8" s="8" t="s">
        <v>121</v>
      </c>
      <c r="BS8" s="9"/>
      <c r="BT8" s="8" t="s">
        <v>152</v>
      </c>
      <c r="BU8" s="9"/>
      <c r="BV8" s="8" t="s">
        <v>200</v>
      </c>
      <c r="BW8" s="9"/>
      <c r="BX8" s="8" t="s">
        <v>173</v>
      </c>
      <c r="BY8" s="9"/>
      <c r="BZ8" s="8" t="s">
        <v>24</v>
      </c>
      <c r="CA8" s="9"/>
      <c r="CB8" s="8" t="s">
        <v>125</v>
      </c>
      <c r="CC8" s="9"/>
      <c r="CD8" s="8" t="s">
        <v>125</v>
      </c>
      <c r="CE8" s="9"/>
      <c r="CF8" s="8" t="s">
        <v>126</v>
      </c>
      <c r="CG8" s="9"/>
      <c r="CH8" s="8" t="s">
        <v>26</v>
      </c>
      <c r="CI8" s="9"/>
      <c r="CJ8" s="8" t="s">
        <v>135</v>
      </c>
      <c r="CK8" s="9"/>
      <c r="CL8" s="8" t="s">
        <v>127</v>
      </c>
      <c r="CM8" s="9"/>
      <c r="CN8" s="8" t="s">
        <v>156</v>
      </c>
      <c r="CO8" s="9"/>
      <c r="CP8" s="8" t="s">
        <v>201</v>
      </c>
      <c r="CQ8" s="9"/>
      <c r="CR8" s="8" t="s">
        <v>15</v>
      </c>
      <c r="CS8" s="9"/>
      <c r="CT8" s="8" t="s">
        <v>202</v>
      </c>
      <c r="CU8" s="9">
        <f t="shared" si="18"/>
        <v>0</v>
      </c>
      <c r="CV8" s="8" t="s">
        <v>159</v>
      </c>
      <c r="CW8" s="9"/>
      <c r="CX8" s="8" t="s">
        <v>152</v>
      </c>
      <c r="CY8" s="9"/>
      <c r="CZ8" s="8" t="s">
        <v>22</v>
      </c>
      <c r="DA8" s="9">
        <f t="shared" si="19"/>
        <v>1</v>
      </c>
      <c r="DB8" s="8" t="s">
        <v>177</v>
      </c>
      <c r="DC8" s="9"/>
      <c r="DD8" s="8" t="s">
        <v>23</v>
      </c>
      <c r="DE8" s="9">
        <f t="shared" si="20"/>
        <v>1</v>
      </c>
      <c r="DF8" s="8" t="s">
        <v>23</v>
      </c>
      <c r="DG8" s="9">
        <f t="shared" si="21"/>
        <v>1</v>
      </c>
      <c r="DH8" s="8" t="s">
        <v>24</v>
      </c>
      <c r="DI8" s="9">
        <f t="shared" si="22"/>
        <v>1</v>
      </c>
      <c r="DJ8" s="8" t="s">
        <v>162</v>
      </c>
      <c r="DK8" s="9"/>
      <c r="DL8" s="8" t="s">
        <v>179</v>
      </c>
      <c r="DM8" s="9">
        <f t="shared" si="23"/>
        <v>0</v>
      </c>
      <c r="DN8" s="8" t="s">
        <v>26</v>
      </c>
      <c r="DO8" s="9"/>
      <c r="DP8" s="8" t="s">
        <v>26</v>
      </c>
      <c r="DQ8" s="9">
        <f t="shared" si="24"/>
        <v>1</v>
      </c>
      <c r="DR8" s="8" t="s">
        <v>27</v>
      </c>
      <c r="DS8" s="9">
        <f t="shared" si="25"/>
        <v>1</v>
      </c>
      <c r="DT8" s="8" t="s">
        <v>162</v>
      </c>
      <c r="DU8" s="9"/>
      <c r="DV8" s="8" t="s">
        <v>8</v>
      </c>
      <c r="DW8" s="9"/>
      <c r="DX8" s="8" t="s">
        <v>26</v>
      </c>
      <c r="DY8" s="9">
        <v>0</v>
      </c>
      <c r="DZ8" s="8" t="s">
        <v>16</v>
      </c>
      <c r="EA8" s="9"/>
      <c r="EB8" s="8" t="s">
        <v>20</v>
      </c>
      <c r="EC8" s="9"/>
      <c r="ED8" s="8" t="s">
        <v>28</v>
      </c>
      <c r="EE8" s="9">
        <f t="shared" si="26"/>
        <v>1</v>
      </c>
      <c r="EF8" s="8" t="s">
        <v>14</v>
      </c>
      <c r="EG8" s="9">
        <f t="shared" si="27"/>
        <v>0</v>
      </c>
      <c r="EH8" s="8" t="s">
        <v>203</v>
      </c>
      <c r="EI8" s="9"/>
    </row>
    <row r="9" spans="1:139" ht="18">
      <c r="A9" s="3">
        <v>7</v>
      </c>
      <c r="B9" s="3">
        <v>46183.500613425924</v>
      </c>
      <c r="C9" s="3">
        <v>46183.507465277777</v>
      </c>
      <c r="D9" s="3" t="s">
        <v>104</v>
      </c>
      <c r="E9" s="3"/>
      <c r="F9" s="11" t="s">
        <v>204</v>
      </c>
      <c r="G9" s="12">
        <f t="shared" si="28"/>
        <v>6</v>
      </c>
      <c r="H9" s="8" t="s">
        <v>106</v>
      </c>
      <c r="I9" s="9">
        <f t="shared" si="0"/>
        <v>0</v>
      </c>
      <c r="J9" s="8" t="s">
        <v>142</v>
      </c>
      <c r="K9" s="9">
        <f t="shared" si="1"/>
        <v>0</v>
      </c>
      <c r="L9" s="8" t="s">
        <v>205</v>
      </c>
      <c r="M9" s="9">
        <f t="shared" si="2"/>
        <v>0</v>
      </c>
      <c r="N9" s="8" t="s">
        <v>206</v>
      </c>
      <c r="O9" s="9">
        <f t="shared" si="3"/>
        <v>0</v>
      </c>
      <c r="P9" s="8"/>
      <c r="Q9" s="9">
        <f t="shared" si="4"/>
        <v>0</v>
      </c>
      <c r="R9" s="8" t="s">
        <v>8</v>
      </c>
      <c r="S9" s="9">
        <f t="shared" si="5"/>
        <v>1</v>
      </c>
      <c r="T9" s="8" t="s">
        <v>145</v>
      </c>
      <c r="U9" s="9">
        <f t="shared" si="6"/>
        <v>0</v>
      </c>
      <c r="V9" s="8" t="s">
        <v>110</v>
      </c>
      <c r="W9" s="9">
        <f t="shared" si="7"/>
        <v>0</v>
      </c>
      <c r="X9" s="8" t="s">
        <v>15</v>
      </c>
      <c r="Y9" s="9">
        <f t="shared" si="8"/>
        <v>0</v>
      </c>
      <c r="Z9" s="8" t="s">
        <v>111</v>
      </c>
      <c r="AA9" s="9">
        <f t="shared" si="9"/>
        <v>1</v>
      </c>
      <c r="AB9" s="8" t="s">
        <v>16</v>
      </c>
      <c r="AC9" s="9">
        <f t="shared" si="10"/>
        <v>0</v>
      </c>
      <c r="AD9" s="8" t="s">
        <v>8</v>
      </c>
      <c r="AE9" s="9">
        <f t="shared" si="11"/>
        <v>0</v>
      </c>
      <c r="AF9" s="8" t="s">
        <v>8</v>
      </c>
      <c r="AG9" s="9">
        <f t="shared" si="12"/>
        <v>0</v>
      </c>
      <c r="AH9" s="8" t="s">
        <v>16</v>
      </c>
      <c r="AI9" s="9">
        <f t="shared" si="13"/>
        <v>0</v>
      </c>
      <c r="AJ9" s="8" t="s">
        <v>172</v>
      </c>
      <c r="AK9" s="9">
        <f t="shared" si="14"/>
        <v>0</v>
      </c>
      <c r="AL9" s="8" t="s">
        <v>172</v>
      </c>
      <c r="AM9" s="9">
        <f t="shared" si="15"/>
        <v>0</v>
      </c>
      <c r="AN9" s="8" t="s">
        <v>112</v>
      </c>
      <c r="AO9" s="9"/>
      <c r="AP9" s="8" t="s">
        <v>125</v>
      </c>
      <c r="AQ9" s="9"/>
      <c r="AR9" s="8" t="s">
        <v>114</v>
      </c>
      <c r="AS9" s="9"/>
      <c r="AT9" s="8" t="s">
        <v>184</v>
      </c>
      <c r="AU9" s="9"/>
      <c r="AV9" s="8" t="s">
        <v>205</v>
      </c>
      <c r="AW9" s="9">
        <f t="shared" si="16"/>
        <v>0</v>
      </c>
      <c r="AX9" s="8" t="s">
        <v>14</v>
      </c>
      <c r="AY9" s="9"/>
      <c r="AZ9" s="8" t="s">
        <v>20</v>
      </c>
      <c r="BA9" s="9"/>
      <c r="BB9" s="8" t="s">
        <v>15</v>
      </c>
      <c r="BC9" s="9"/>
      <c r="BD9" s="8" t="s">
        <v>14</v>
      </c>
      <c r="BE9" s="9"/>
      <c r="BF9" s="8" t="s">
        <v>26</v>
      </c>
      <c r="BG9" s="9"/>
      <c r="BH9" s="8" t="s">
        <v>26</v>
      </c>
      <c r="BI9" s="9"/>
      <c r="BJ9" s="8" t="s">
        <v>20</v>
      </c>
      <c r="BK9" s="9"/>
      <c r="BL9" s="8" t="s">
        <v>26</v>
      </c>
      <c r="BM9" s="9">
        <f t="shared" si="17"/>
        <v>0</v>
      </c>
      <c r="BN9" s="8" t="s">
        <v>199</v>
      </c>
      <c r="BO9" s="9"/>
      <c r="BP9" s="8" t="s">
        <v>149</v>
      </c>
      <c r="BQ9" s="9"/>
      <c r="BR9" s="8" t="s">
        <v>121</v>
      </c>
      <c r="BS9" s="9"/>
      <c r="BT9" s="8" t="s">
        <v>152</v>
      </c>
      <c r="BU9" s="9"/>
      <c r="BV9" s="8" t="s">
        <v>123</v>
      </c>
      <c r="BW9" s="9"/>
      <c r="BX9" s="8" t="s">
        <v>173</v>
      </c>
      <c r="BY9" s="9"/>
      <c r="BZ9" s="8" t="s">
        <v>125</v>
      </c>
      <c r="CA9" s="9"/>
      <c r="CB9" s="8" t="s">
        <v>144</v>
      </c>
      <c r="CC9" s="9"/>
      <c r="CD9" s="8" t="s">
        <v>184</v>
      </c>
      <c r="CE9" s="9"/>
      <c r="CF9" s="8" t="s">
        <v>126</v>
      </c>
      <c r="CG9" s="9"/>
      <c r="CH9" s="8" t="s">
        <v>20</v>
      </c>
      <c r="CI9" s="9"/>
      <c r="CJ9" s="8" t="s">
        <v>175</v>
      </c>
      <c r="CK9" s="9"/>
      <c r="CL9" s="8" t="s">
        <v>127</v>
      </c>
      <c r="CM9" s="9"/>
      <c r="CN9" s="8" t="s">
        <v>156</v>
      </c>
      <c r="CO9" s="9"/>
      <c r="CP9" s="8" t="s">
        <v>207</v>
      </c>
      <c r="CQ9" s="9"/>
      <c r="CR9" s="8" t="s">
        <v>14</v>
      </c>
      <c r="CS9" s="9"/>
      <c r="CT9" s="8" t="s">
        <v>158</v>
      </c>
      <c r="CU9" s="9">
        <f t="shared" si="18"/>
        <v>0</v>
      </c>
      <c r="CV9" s="8" t="s">
        <v>159</v>
      </c>
      <c r="CW9" s="9"/>
      <c r="CX9" s="8" t="s">
        <v>152</v>
      </c>
      <c r="CY9" s="9"/>
      <c r="CZ9" s="8" t="s">
        <v>161</v>
      </c>
      <c r="DA9" s="9">
        <f t="shared" si="19"/>
        <v>0</v>
      </c>
      <c r="DB9" s="8" t="s">
        <v>177</v>
      </c>
      <c r="DC9" s="9"/>
      <c r="DD9" s="8" t="s">
        <v>23</v>
      </c>
      <c r="DE9" s="9">
        <f t="shared" si="20"/>
        <v>1</v>
      </c>
      <c r="DF9" s="8" t="s">
        <v>114</v>
      </c>
      <c r="DG9" s="9">
        <f t="shared" si="21"/>
        <v>0</v>
      </c>
      <c r="DH9" s="8" t="s">
        <v>24</v>
      </c>
      <c r="DI9" s="9">
        <f t="shared" si="22"/>
        <v>1</v>
      </c>
      <c r="DJ9" s="8" t="s">
        <v>208</v>
      </c>
      <c r="DK9" s="9"/>
      <c r="DL9" s="8" t="s">
        <v>209</v>
      </c>
      <c r="DM9" s="9">
        <f t="shared" si="23"/>
        <v>0</v>
      </c>
      <c r="DN9" s="8" t="s">
        <v>20</v>
      </c>
      <c r="DO9" s="9"/>
      <c r="DP9" s="8" t="s">
        <v>26</v>
      </c>
      <c r="DQ9" s="9">
        <f t="shared" si="24"/>
        <v>1</v>
      </c>
      <c r="DR9" s="8" t="s">
        <v>137</v>
      </c>
      <c r="DS9" s="9">
        <f t="shared" si="25"/>
        <v>0</v>
      </c>
      <c r="DT9" s="8" t="s">
        <v>189</v>
      </c>
      <c r="DU9" s="9"/>
      <c r="DV9" s="8" t="s">
        <v>16</v>
      </c>
      <c r="DW9" s="9"/>
      <c r="DX9" s="8" t="s">
        <v>20</v>
      </c>
      <c r="DY9" s="9">
        <v>1</v>
      </c>
      <c r="DZ9" s="8" t="s">
        <v>8</v>
      </c>
      <c r="EA9" s="9"/>
      <c r="EB9" s="8" t="s">
        <v>20</v>
      </c>
      <c r="EC9" s="9"/>
      <c r="ED9" s="8" t="s">
        <v>210</v>
      </c>
      <c r="EE9" s="9">
        <f t="shared" si="26"/>
        <v>0</v>
      </c>
      <c r="EF9" s="8" t="s">
        <v>14</v>
      </c>
      <c r="EG9" s="9">
        <f t="shared" si="27"/>
        <v>0</v>
      </c>
      <c r="EH9" s="8" t="s">
        <v>211</v>
      </c>
      <c r="EI9" s="9"/>
    </row>
    <row r="10" spans="1:139" ht="18">
      <c r="A10" s="3">
        <v>8</v>
      </c>
      <c r="B10" s="3">
        <v>46183.649571759299</v>
      </c>
      <c r="C10" s="3">
        <v>46183.667430555601</v>
      </c>
      <c r="D10" s="3" t="s">
        <v>104</v>
      </c>
      <c r="E10" s="3"/>
      <c r="F10" s="11" t="s">
        <v>212</v>
      </c>
      <c r="G10" s="12">
        <f t="shared" si="28"/>
        <v>9</v>
      </c>
      <c r="H10" s="8" t="s">
        <v>135</v>
      </c>
      <c r="I10" s="9">
        <f t="shared" si="0"/>
        <v>0</v>
      </c>
      <c r="J10" s="8" t="s">
        <v>213</v>
      </c>
      <c r="K10" s="9">
        <f t="shared" si="1"/>
        <v>0</v>
      </c>
      <c r="L10" s="8" t="s">
        <v>205</v>
      </c>
      <c r="M10" s="9">
        <f t="shared" si="2"/>
        <v>0</v>
      </c>
      <c r="N10" s="8" t="s">
        <v>169</v>
      </c>
      <c r="O10" s="9">
        <f t="shared" si="3"/>
        <v>0</v>
      </c>
      <c r="P10" s="8" t="s">
        <v>109</v>
      </c>
      <c r="Q10" s="9">
        <f t="shared" si="4"/>
        <v>0</v>
      </c>
      <c r="R10" s="8" t="s">
        <v>8</v>
      </c>
      <c r="S10" s="9">
        <f t="shared" si="5"/>
        <v>1</v>
      </c>
      <c r="T10" s="8" t="s">
        <v>14</v>
      </c>
      <c r="U10" s="9">
        <f t="shared" si="6"/>
        <v>0</v>
      </c>
      <c r="V10" s="8" t="s">
        <v>214</v>
      </c>
      <c r="W10" s="9">
        <f t="shared" si="7"/>
        <v>0</v>
      </c>
      <c r="X10" s="8" t="s">
        <v>15</v>
      </c>
      <c r="Y10" s="9">
        <f t="shared" si="8"/>
        <v>0</v>
      </c>
      <c r="Z10" s="8" t="s">
        <v>111</v>
      </c>
      <c r="AA10" s="9">
        <f t="shared" si="9"/>
        <v>1</v>
      </c>
      <c r="AB10" s="8" t="s">
        <v>15</v>
      </c>
      <c r="AC10" s="9">
        <f t="shared" si="10"/>
        <v>0</v>
      </c>
      <c r="AD10" s="8" t="s">
        <v>14</v>
      </c>
      <c r="AE10" s="9">
        <f t="shared" si="11"/>
        <v>1</v>
      </c>
      <c r="AF10" s="8" t="s">
        <v>15</v>
      </c>
      <c r="AG10" s="9">
        <f t="shared" si="12"/>
        <v>1</v>
      </c>
      <c r="AH10" s="8" t="s">
        <v>16</v>
      </c>
      <c r="AI10" s="9">
        <f t="shared" si="13"/>
        <v>0</v>
      </c>
      <c r="AJ10" s="8" t="s">
        <v>172</v>
      </c>
      <c r="AK10" s="9">
        <f t="shared" si="14"/>
        <v>0</v>
      </c>
      <c r="AL10" s="8" t="s">
        <v>172</v>
      </c>
      <c r="AM10" s="9">
        <f t="shared" si="15"/>
        <v>0</v>
      </c>
      <c r="AN10" s="8" t="s">
        <v>112</v>
      </c>
      <c r="AO10" s="9"/>
      <c r="AP10" s="8" t="s">
        <v>24</v>
      </c>
      <c r="AQ10" s="9"/>
      <c r="AR10" s="8" t="s">
        <v>114</v>
      </c>
      <c r="AS10" s="9"/>
      <c r="AT10" s="8" t="s">
        <v>115</v>
      </c>
      <c r="AU10" s="9"/>
      <c r="AV10" s="8" t="s">
        <v>148</v>
      </c>
      <c r="AW10" s="9">
        <f t="shared" si="16"/>
        <v>1</v>
      </c>
      <c r="AX10" s="8" t="s">
        <v>14</v>
      </c>
      <c r="AY10" s="9"/>
      <c r="AZ10" s="8" t="s">
        <v>26</v>
      </c>
      <c r="BA10" s="9"/>
      <c r="BB10" s="8" t="s">
        <v>15</v>
      </c>
      <c r="BC10" s="9"/>
      <c r="BD10" s="8" t="s">
        <v>14</v>
      </c>
      <c r="BE10" s="9"/>
      <c r="BF10" s="8" t="s">
        <v>26</v>
      </c>
      <c r="BG10" s="9"/>
      <c r="BH10" s="8" t="s">
        <v>26</v>
      </c>
      <c r="BI10" s="9"/>
      <c r="BJ10" s="8" t="s">
        <v>20</v>
      </c>
      <c r="BK10" s="9"/>
      <c r="BL10" s="8" t="s">
        <v>26</v>
      </c>
      <c r="BM10" s="9">
        <f t="shared" si="17"/>
        <v>0</v>
      </c>
      <c r="BN10" s="8" t="s">
        <v>119</v>
      </c>
      <c r="BO10" s="9"/>
      <c r="BP10" s="8" t="s">
        <v>150</v>
      </c>
      <c r="BQ10" s="9"/>
      <c r="BR10" s="8" t="s">
        <v>215</v>
      </c>
      <c r="BS10" s="9"/>
      <c r="BT10" s="8" t="s">
        <v>152</v>
      </c>
      <c r="BU10" s="9"/>
      <c r="BV10" s="8" t="s">
        <v>216</v>
      </c>
      <c r="BW10" s="9"/>
      <c r="BX10" s="8" t="s">
        <v>124</v>
      </c>
      <c r="BY10" s="9"/>
      <c r="BZ10" s="8" t="s">
        <v>125</v>
      </c>
      <c r="CA10" s="9"/>
      <c r="CB10" s="8" t="s">
        <v>125</v>
      </c>
      <c r="CC10" s="9"/>
      <c r="CD10" s="8" t="s">
        <v>24</v>
      </c>
      <c r="CE10" s="9"/>
      <c r="CF10" s="8" t="s">
        <v>217</v>
      </c>
      <c r="CG10" s="9"/>
      <c r="CH10" s="8" t="s">
        <v>20</v>
      </c>
      <c r="CI10" s="9"/>
      <c r="CJ10" s="8" t="s">
        <v>218</v>
      </c>
      <c r="CK10" s="9"/>
      <c r="CL10" s="8" t="s">
        <v>219</v>
      </c>
      <c r="CM10" s="9"/>
      <c r="CN10" s="8" t="s">
        <v>156</v>
      </c>
      <c r="CO10" s="9"/>
      <c r="CP10" s="8" t="s">
        <v>129</v>
      </c>
      <c r="CQ10" s="9"/>
      <c r="CR10" s="8" t="s">
        <v>130</v>
      </c>
      <c r="CS10" s="9"/>
      <c r="CT10" s="8" t="s">
        <v>158</v>
      </c>
      <c r="CU10" s="9">
        <f t="shared" si="18"/>
        <v>0</v>
      </c>
      <c r="CV10" s="8" t="s">
        <v>159</v>
      </c>
      <c r="CW10" s="9"/>
      <c r="CX10" s="8" t="s">
        <v>152</v>
      </c>
      <c r="CY10" s="9"/>
      <c r="CZ10" s="8" t="s">
        <v>161</v>
      </c>
      <c r="DA10" s="9">
        <f t="shared" si="19"/>
        <v>0</v>
      </c>
      <c r="DB10" s="8" t="s">
        <v>133</v>
      </c>
      <c r="DC10" s="9"/>
      <c r="DD10" s="8" t="s">
        <v>23</v>
      </c>
      <c r="DE10" s="9">
        <f t="shared" si="20"/>
        <v>1</v>
      </c>
      <c r="DF10" s="8" t="s">
        <v>134</v>
      </c>
      <c r="DG10" s="9">
        <f t="shared" si="21"/>
        <v>0</v>
      </c>
      <c r="DH10" s="8" t="s">
        <v>24</v>
      </c>
      <c r="DI10" s="9">
        <f t="shared" si="22"/>
        <v>1</v>
      </c>
      <c r="DJ10" s="8" t="s">
        <v>155</v>
      </c>
      <c r="DK10" s="9"/>
      <c r="DL10" s="8" t="s">
        <v>179</v>
      </c>
      <c r="DM10" s="9">
        <f t="shared" si="23"/>
        <v>0</v>
      </c>
      <c r="DN10" s="8" t="s">
        <v>20</v>
      </c>
      <c r="DO10" s="9"/>
      <c r="DP10" s="8" t="s">
        <v>26</v>
      </c>
      <c r="DQ10" s="9">
        <f t="shared" si="24"/>
        <v>1</v>
      </c>
      <c r="DR10" s="8" t="s">
        <v>137</v>
      </c>
      <c r="DS10" s="9">
        <f t="shared" si="25"/>
        <v>0</v>
      </c>
      <c r="DT10" s="8" t="s">
        <v>138</v>
      </c>
      <c r="DU10" s="9"/>
      <c r="DV10" s="8" t="s">
        <v>8</v>
      </c>
      <c r="DW10" s="9"/>
      <c r="DX10" s="8" t="s">
        <v>26</v>
      </c>
      <c r="DY10" s="9">
        <v>0</v>
      </c>
      <c r="DZ10" s="8" t="s">
        <v>16</v>
      </c>
      <c r="EA10" s="9"/>
      <c r="EB10" s="8" t="s">
        <v>26</v>
      </c>
      <c r="EC10" s="9"/>
      <c r="ED10" s="8" t="s">
        <v>28</v>
      </c>
      <c r="EE10" s="9">
        <f t="shared" si="26"/>
        <v>1</v>
      </c>
      <c r="EF10" s="8" t="s">
        <v>14</v>
      </c>
      <c r="EG10" s="9">
        <f t="shared" si="27"/>
        <v>0</v>
      </c>
      <c r="EH10" s="8" t="s">
        <v>220</v>
      </c>
      <c r="EI10" s="9"/>
    </row>
    <row r="11" spans="1:139" ht="18">
      <c r="A11" s="3">
        <v>9</v>
      </c>
      <c r="B11" s="3">
        <v>46184.391562500001</v>
      </c>
      <c r="C11" s="3">
        <v>46184.422303240703</v>
      </c>
      <c r="D11" s="3" t="s">
        <v>104</v>
      </c>
      <c r="E11" s="3"/>
      <c r="F11" s="11" t="s">
        <v>221</v>
      </c>
      <c r="G11" s="12">
        <f t="shared" si="28"/>
        <v>14</v>
      </c>
      <c r="H11" s="8" t="s">
        <v>1</v>
      </c>
      <c r="I11" s="9">
        <f t="shared" si="0"/>
        <v>1</v>
      </c>
      <c r="J11" s="8" t="s">
        <v>2</v>
      </c>
      <c r="K11" s="9">
        <f t="shared" si="1"/>
        <v>1</v>
      </c>
      <c r="L11" s="8" t="s">
        <v>222</v>
      </c>
      <c r="M11" s="9">
        <f t="shared" si="2"/>
        <v>0</v>
      </c>
      <c r="N11" s="8" t="s">
        <v>3</v>
      </c>
      <c r="O11" s="9">
        <f t="shared" si="3"/>
        <v>0</v>
      </c>
      <c r="P11" s="8"/>
      <c r="Q11" s="9">
        <f t="shared" si="4"/>
        <v>0</v>
      </c>
      <c r="R11" s="8" t="s">
        <v>8</v>
      </c>
      <c r="S11" s="9">
        <f t="shared" si="5"/>
        <v>1</v>
      </c>
      <c r="T11" s="8" t="s">
        <v>9</v>
      </c>
      <c r="U11" s="9">
        <f t="shared" si="6"/>
        <v>1</v>
      </c>
      <c r="V11" s="8" t="s">
        <v>171</v>
      </c>
      <c r="W11" s="9">
        <f t="shared" si="7"/>
        <v>0</v>
      </c>
      <c r="X11" s="8" t="s">
        <v>130</v>
      </c>
      <c r="Y11" s="9">
        <f t="shared" si="8"/>
        <v>0</v>
      </c>
      <c r="Z11" s="8" t="s">
        <v>16</v>
      </c>
      <c r="AA11" s="9">
        <f t="shared" si="9"/>
        <v>0</v>
      </c>
      <c r="AB11" s="8" t="s">
        <v>15</v>
      </c>
      <c r="AC11" s="9">
        <f t="shared" si="10"/>
        <v>0</v>
      </c>
      <c r="AD11" s="8" t="s">
        <v>15</v>
      </c>
      <c r="AE11" s="9">
        <f t="shared" si="11"/>
        <v>0</v>
      </c>
      <c r="AF11" s="8" t="s">
        <v>15</v>
      </c>
      <c r="AG11" s="9">
        <f t="shared" si="12"/>
        <v>1</v>
      </c>
      <c r="AH11" s="8" t="s">
        <v>8</v>
      </c>
      <c r="AI11" s="9">
        <f t="shared" si="13"/>
        <v>0</v>
      </c>
      <c r="AJ11" s="8" t="s">
        <v>8</v>
      </c>
      <c r="AK11" s="9">
        <f t="shared" si="14"/>
        <v>0</v>
      </c>
      <c r="AL11" s="8" t="s">
        <v>8</v>
      </c>
      <c r="AM11" s="9">
        <f t="shared" si="15"/>
        <v>1</v>
      </c>
      <c r="AN11" s="8" t="s">
        <v>112</v>
      </c>
      <c r="AO11" s="9"/>
      <c r="AP11" s="8" t="s">
        <v>23</v>
      </c>
      <c r="AQ11" s="9"/>
      <c r="AR11" s="8" t="s">
        <v>147</v>
      </c>
      <c r="AS11" s="9"/>
      <c r="AT11" s="8" t="s">
        <v>184</v>
      </c>
      <c r="AU11" s="9"/>
      <c r="AV11" s="8" t="s">
        <v>223</v>
      </c>
      <c r="AW11" s="9">
        <f t="shared" si="16"/>
        <v>1</v>
      </c>
      <c r="AX11" s="8" t="s">
        <v>14</v>
      </c>
      <c r="AY11" s="9"/>
      <c r="AZ11" s="8" t="s">
        <v>26</v>
      </c>
      <c r="BA11" s="9"/>
      <c r="BB11" s="8" t="s">
        <v>15</v>
      </c>
      <c r="BC11" s="9"/>
      <c r="BD11" s="8" t="s">
        <v>145</v>
      </c>
      <c r="BE11" s="9"/>
      <c r="BF11" s="8" t="s">
        <v>26</v>
      </c>
      <c r="BG11" s="9"/>
      <c r="BH11" s="8" t="s">
        <v>26</v>
      </c>
      <c r="BI11" s="9"/>
      <c r="BJ11" s="8" t="s">
        <v>26</v>
      </c>
      <c r="BK11" s="9"/>
      <c r="BL11" s="8" t="s">
        <v>20</v>
      </c>
      <c r="BM11" s="9">
        <f t="shared" si="17"/>
        <v>1</v>
      </c>
      <c r="BN11" s="8" t="s">
        <v>224</v>
      </c>
      <c r="BO11" s="9"/>
      <c r="BP11" s="8" t="s">
        <v>150</v>
      </c>
      <c r="BQ11" s="9"/>
      <c r="BR11" s="8" t="s">
        <v>121</v>
      </c>
      <c r="BS11" s="9"/>
      <c r="BT11" s="8" t="s">
        <v>152</v>
      </c>
      <c r="BU11" s="9"/>
      <c r="BV11" s="8" t="s">
        <v>225</v>
      </c>
      <c r="BW11" s="9"/>
      <c r="BX11" s="8" t="s">
        <v>226</v>
      </c>
      <c r="BY11" s="9"/>
      <c r="BZ11" s="8" t="s">
        <v>125</v>
      </c>
      <c r="CA11" s="9"/>
      <c r="CB11" s="8" t="s">
        <v>24</v>
      </c>
      <c r="CC11" s="9"/>
      <c r="CD11" s="8" t="s">
        <v>113</v>
      </c>
      <c r="CE11" s="9"/>
      <c r="CF11" s="8" t="s">
        <v>217</v>
      </c>
      <c r="CG11" s="9"/>
      <c r="CH11" s="8" t="s">
        <v>26</v>
      </c>
      <c r="CI11" s="9"/>
      <c r="CJ11" s="8" t="s">
        <v>218</v>
      </c>
      <c r="CK11" s="9"/>
      <c r="CL11" s="8" t="s">
        <v>176</v>
      </c>
      <c r="CM11" s="9"/>
      <c r="CN11" s="8" t="s">
        <v>227</v>
      </c>
      <c r="CO11" s="9"/>
      <c r="CP11" s="8" t="s">
        <v>129</v>
      </c>
      <c r="CQ11" s="9"/>
      <c r="CR11" s="8" t="s">
        <v>130</v>
      </c>
      <c r="CS11" s="9"/>
      <c r="CT11" s="8" t="s">
        <v>202</v>
      </c>
      <c r="CU11" s="9">
        <f t="shared" si="18"/>
        <v>0</v>
      </c>
      <c r="CV11" s="8" t="s">
        <v>159</v>
      </c>
      <c r="CW11" s="9"/>
      <c r="CX11" s="8" t="s">
        <v>152</v>
      </c>
      <c r="CY11" s="9"/>
      <c r="CZ11" s="8" t="s">
        <v>22</v>
      </c>
      <c r="DA11" s="9">
        <f t="shared" si="19"/>
        <v>1</v>
      </c>
      <c r="DB11" s="8" t="s">
        <v>161</v>
      </c>
      <c r="DC11" s="9"/>
      <c r="DD11" s="8" t="s">
        <v>23</v>
      </c>
      <c r="DE11" s="9">
        <f t="shared" si="20"/>
        <v>1</v>
      </c>
      <c r="DF11" s="8" t="s">
        <v>23</v>
      </c>
      <c r="DG11" s="9">
        <f t="shared" si="21"/>
        <v>1</v>
      </c>
      <c r="DH11" s="8" t="s">
        <v>24</v>
      </c>
      <c r="DI11" s="9">
        <f t="shared" si="22"/>
        <v>1</v>
      </c>
      <c r="DJ11" s="8" t="s">
        <v>106</v>
      </c>
      <c r="DK11" s="9"/>
      <c r="DL11" s="8" t="s">
        <v>209</v>
      </c>
      <c r="DM11" s="9">
        <f t="shared" si="23"/>
        <v>0</v>
      </c>
      <c r="DN11" s="8" t="s">
        <v>20</v>
      </c>
      <c r="DO11" s="9"/>
      <c r="DP11" s="8" t="s">
        <v>26</v>
      </c>
      <c r="DQ11" s="9">
        <f t="shared" si="24"/>
        <v>1</v>
      </c>
      <c r="DR11" s="8" t="s">
        <v>27</v>
      </c>
      <c r="DS11" s="9">
        <f t="shared" si="25"/>
        <v>1</v>
      </c>
      <c r="DT11" s="8" t="s">
        <v>162</v>
      </c>
      <c r="DU11" s="9"/>
      <c r="DV11" s="8" t="s">
        <v>8</v>
      </c>
      <c r="DW11" s="9"/>
      <c r="DX11" s="8" t="s">
        <v>26</v>
      </c>
      <c r="DY11" s="9">
        <v>0</v>
      </c>
      <c r="DZ11" s="8" t="s">
        <v>8</v>
      </c>
      <c r="EA11" s="9"/>
      <c r="EB11" s="8" t="s">
        <v>20</v>
      </c>
      <c r="EC11" s="9"/>
      <c r="ED11" s="8" t="s">
        <v>210</v>
      </c>
      <c r="EE11" s="9">
        <f t="shared" si="26"/>
        <v>0</v>
      </c>
      <c r="EF11" s="8" t="s">
        <v>14</v>
      </c>
      <c r="EG11" s="9">
        <f t="shared" si="27"/>
        <v>0</v>
      </c>
      <c r="EH11" s="8" t="s">
        <v>228</v>
      </c>
      <c r="EI11" s="9"/>
    </row>
    <row r="12" spans="1:139" ht="18">
      <c r="A12" s="3">
        <v>10</v>
      </c>
      <c r="B12" s="3">
        <v>46184.576203703698</v>
      </c>
      <c r="C12" s="3">
        <v>46184.581655092603</v>
      </c>
      <c r="D12" s="3" t="s">
        <v>104</v>
      </c>
      <c r="E12" s="3"/>
      <c r="F12" s="11" t="s">
        <v>229</v>
      </c>
      <c r="G12" s="12">
        <f t="shared" si="28"/>
        <v>6</v>
      </c>
      <c r="H12" s="8" t="s">
        <v>145</v>
      </c>
      <c r="I12" s="9">
        <f t="shared" si="0"/>
        <v>0</v>
      </c>
      <c r="J12" s="8" t="s">
        <v>142</v>
      </c>
      <c r="K12" s="9">
        <f t="shared" si="1"/>
        <v>0</v>
      </c>
      <c r="L12" s="8" t="s">
        <v>108</v>
      </c>
      <c r="M12" s="9">
        <f t="shared" si="2"/>
        <v>0</v>
      </c>
      <c r="N12" s="8" t="s">
        <v>169</v>
      </c>
      <c r="O12" s="9">
        <f t="shared" si="3"/>
        <v>0</v>
      </c>
      <c r="P12" s="8" t="s">
        <v>192</v>
      </c>
      <c r="Q12" s="9">
        <f t="shared" si="4"/>
        <v>0</v>
      </c>
      <c r="R12" s="8" t="s">
        <v>15</v>
      </c>
      <c r="S12" s="9">
        <f t="shared" si="5"/>
        <v>0</v>
      </c>
      <c r="T12" s="8" t="s">
        <v>14</v>
      </c>
      <c r="U12" s="9">
        <f t="shared" si="6"/>
        <v>0</v>
      </c>
      <c r="V12" s="8" t="s">
        <v>214</v>
      </c>
      <c r="W12" s="9">
        <f t="shared" si="7"/>
        <v>0</v>
      </c>
      <c r="X12" s="8" t="s">
        <v>15</v>
      </c>
      <c r="Y12" s="9">
        <f t="shared" si="8"/>
        <v>0</v>
      </c>
      <c r="Z12" s="8" t="s">
        <v>111</v>
      </c>
      <c r="AA12" s="9">
        <f t="shared" si="9"/>
        <v>1</v>
      </c>
      <c r="AB12" s="8" t="s">
        <v>8</v>
      </c>
      <c r="AC12" s="9">
        <f t="shared" si="10"/>
        <v>0</v>
      </c>
      <c r="AD12" s="8" t="s">
        <v>15</v>
      </c>
      <c r="AE12" s="9">
        <f t="shared" si="11"/>
        <v>0</v>
      </c>
      <c r="AF12" s="8" t="s">
        <v>15</v>
      </c>
      <c r="AG12" s="9">
        <f t="shared" si="12"/>
        <v>1</v>
      </c>
      <c r="AH12" s="8" t="s">
        <v>16</v>
      </c>
      <c r="AI12" s="9">
        <f t="shared" si="13"/>
        <v>0</v>
      </c>
      <c r="AJ12" s="8" t="s">
        <v>172</v>
      </c>
      <c r="AK12" s="9">
        <f t="shared" si="14"/>
        <v>0</v>
      </c>
      <c r="AL12" s="8" t="s">
        <v>172</v>
      </c>
      <c r="AM12" s="9">
        <f t="shared" si="15"/>
        <v>0</v>
      </c>
      <c r="AN12" s="8" t="s">
        <v>112</v>
      </c>
      <c r="AO12" s="9"/>
      <c r="AP12" s="8" t="s">
        <v>24</v>
      </c>
      <c r="AQ12" s="9"/>
      <c r="AR12" s="8" t="s">
        <v>147</v>
      </c>
      <c r="AS12" s="9"/>
      <c r="AT12" s="8" t="s">
        <v>115</v>
      </c>
      <c r="AU12" s="9"/>
      <c r="AV12" s="8" t="s">
        <v>116</v>
      </c>
      <c r="AW12" s="9">
        <f t="shared" si="16"/>
        <v>0</v>
      </c>
      <c r="AX12" s="8" t="s">
        <v>117</v>
      </c>
      <c r="AY12" s="9"/>
      <c r="AZ12" s="8" t="s">
        <v>20</v>
      </c>
      <c r="BA12" s="9"/>
      <c r="BB12" s="8" t="s">
        <v>8</v>
      </c>
      <c r="BC12" s="9"/>
      <c r="BD12" s="8" t="s">
        <v>8</v>
      </c>
      <c r="BE12" s="9"/>
      <c r="BF12" s="8" t="s">
        <v>26</v>
      </c>
      <c r="BG12" s="9"/>
      <c r="BH12" s="8" t="s">
        <v>26</v>
      </c>
      <c r="BI12" s="9"/>
      <c r="BJ12" s="8" t="s">
        <v>26</v>
      </c>
      <c r="BK12" s="9"/>
      <c r="BL12" s="8" t="s">
        <v>26</v>
      </c>
      <c r="BM12" s="9">
        <f t="shared" si="17"/>
        <v>0</v>
      </c>
      <c r="BN12" s="8" t="s">
        <v>119</v>
      </c>
      <c r="BO12" s="9"/>
      <c r="BP12" s="8" t="s">
        <v>120</v>
      </c>
      <c r="BQ12" s="9"/>
      <c r="BR12" s="8" t="s">
        <v>215</v>
      </c>
      <c r="BS12" s="9"/>
      <c r="BT12" s="8" t="s">
        <v>160</v>
      </c>
      <c r="BU12" s="9"/>
      <c r="BV12" s="8" t="s">
        <v>193</v>
      </c>
      <c r="BW12" s="9"/>
      <c r="BX12" s="8" t="s">
        <v>173</v>
      </c>
      <c r="BY12" s="9"/>
      <c r="BZ12" s="8" t="s">
        <v>24</v>
      </c>
      <c r="CA12" s="9"/>
      <c r="CB12" s="8" t="s">
        <v>144</v>
      </c>
      <c r="CC12" s="9"/>
      <c r="CD12" s="8" t="s">
        <v>125</v>
      </c>
      <c r="CE12" s="9"/>
      <c r="CF12" s="8" t="s">
        <v>126</v>
      </c>
      <c r="CG12" s="9"/>
      <c r="CH12" s="8" t="s">
        <v>20</v>
      </c>
      <c r="CI12" s="9"/>
      <c r="CJ12" s="8" t="s">
        <v>175</v>
      </c>
      <c r="CK12" s="9"/>
      <c r="CL12" s="8" t="s">
        <v>176</v>
      </c>
      <c r="CM12" s="9"/>
      <c r="CN12" s="8" t="s">
        <v>156</v>
      </c>
      <c r="CO12" s="9"/>
      <c r="CP12" s="8" t="s">
        <v>129</v>
      </c>
      <c r="CQ12" s="9"/>
      <c r="CR12" s="8" t="s">
        <v>15</v>
      </c>
      <c r="CS12" s="9"/>
      <c r="CT12" s="8" t="s">
        <v>158</v>
      </c>
      <c r="CU12" s="9">
        <f t="shared" si="18"/>
        <v>0</v>
      </c>
      <c r="CV12" s="8" t="s">
        <v>159</v>
      </c>
      <c r="CW12" s="9"/>
      <c r="CX12" s="8" t="s">
        <v>152</v>
      </c>
      <c r="CY12" s="9"/>
      <c r="CZ12" s="8" t="s">
        <v>161</v>
      </c>
      <c r="DA12" s="9">
        <f t="shared" si="19"/>
        <v>0</v>
      </c>
      <c r="DB12" s="8" t="s">
        <v>133</v>
      </c>
      <c r="DC12" s="9"/>
      <c r="DD12" s="8" t="s">
        <v>23</v>
      </c>
      <c r="DE12" s="9">
        <f t="shared" si="20"/>
        <v>1</v>
      </c>
      <c r="DF12" s="8" t="s">
        <v>134</v>
      </c>
      <c r="DG12" s="9">
        <f t="shared" si="21"/>
        <v>0</v>
      </c>
      <c r="DH12" s="8" t="s">
        <v>24</v>
      </c>
      <c r="DI12" s="9">
        <f t="shared" si="22"/>
        <v>1</v>
      </c>
      <c r="DJ12" s="8" t="s">
        <v>208</v>
      </c>
      <c r="DK12" s="9"/>
      <c r="DL12" s="8" t="s">
        <v>179</v>
      </c>
      <c r="DM12" s="9">
        <f t="shared" si="23"/>
        <v>0</v>
      </c>
      <c r="DN12" s="8" t="s">
        <v>20</v>
      </c>
      <c r="DO12" s="9"/>
      <c r="DP12" s="8" t="s">
        <v>20</v>
      </c>
      <c r="DQ12" s="9">
        <f t="shared" si="24"/>
        <v>0</v>
      </c>
      <c r="DR12" s="8" t="s">
        <v>164</v>
      </c>
      <c r="DS12" s="9">
        <f t="shared" si="25"/>
        <v>0</v>
      </c>
      <c r="DT12" s="8" t="s">
        <v>189</v>
      </c>
      <c r="DU12" s="9"/>
      <c r="DV12" s="8" t="s">
        <v>172</v>
      </c>
      <c r="DW12" s="9"/>
      <c r="DX12" s="8" t="s">
        <v>20</v>
      </c>
      <c r="DY12" s="9">
        <v>1</v>
      </c>
      <c r="DZ12" s="8" t="s">
        <v>16</v>
      </c>
      <c r="EA12" s="9"/>
      <c r="EB12" s="8" t="s">
        <v>20</v>
      </c>
      <c r="EC12" s="9"/>
      <c r="ED12" s="8" t="s">
        <v>28</v>
      </c>
      <c r="EE12" s="9">
        <f t="shared" si="26"/>
        <v>1</v>
      </c>
      <c r="EF12" s="8" t="s">
        <v>14</v>
      </c>
      <c r="EG12" s="9">
        <f t="shared" si="27"/>
        <v>0</v>
      </c>
      <c r="EH12" s="8" t="s">
        <v>230</v>
      </c>
      <c r="EI12" s="9"/>
    </row>
    <row r="13" spans="1:139" ht="18">
      <c r="A13" s="3">
        <v>11</v>
      </c>
      <c r="B13" s="3">
        <v>46184.6417939815</v>
      </c>
      <c r="C13" s="3">
        <v>46184.6467708333</v>
      </c>
      <c r="D13" s="3" t="s">
        <v>104</v>
      </c>
      <c r="E13" s="3"/>
      <c r="F13" s="11" t="s">
        <v>231</v>
      </c>
      <c r="G13" s="12">
        <f t="shared" si="28"/>
        <v>12</v>
      </c>
      <c r="H13" s="8"/>
      <c r="I13" s="9">
        <f t="shared" si="0"/>
        <v>0</v>
      </c>
      <c r="J13" s="8" t="s">
        <v>2</v>
      </c>
      <c r="K13" s="9">
        <f t="shared" si="1"/>
        <v>1</v>
      </c>
      <c r="L13" s="8" t="s">
        <v>232</v>
      </c>
      <c r="M13" s="9">
        <f t="shared" si="2"/>
        <v>0</v>
      </c>
      <c r="N13" s="8" t="s">
        <v>232</v>
      </c>
      <c r="O13" s="9">
        <f t="shared" si="3"/>
        <v>0</v>
      </c>
      <c r="P13" s="8" t="s">
        <v>233</v>
      </c>
      <c r="Q13" s="9">
        <f t="shared" si="4"/>
        <v>0</v>
      </c>
      <c r="R13" s="8" t="s">
        <v>8</v>
      </c>
      <c r="S13" s="9">
        <f t="shared" si="5"/>
        <v>1</v>
      </c>
      <c r="T13" s="8" t="s">
        <v>9</v>
      </c>
      <c r="U13" s="9">
        <f t="shared" si="6"/>
        <v>1</v>
      </c>
      <c r="V13" s="8" t="s">
        <v>234</v>
      </c>
      <c r="W13" s="9">
        <f t="shared" si="7"/>
        <v>0</v>
      </c>
      <c r="X13" s="8" t="s">
        <v>130</v>
      </c>
      <c r="Y13" s="9">
        <f t="shared" si="8"/>
        <v>0</v>
      </c>
      <c r="Z13" s="8" t="s">
        <v>111</v>
      </c>
      <c r="AA13" s="9">
        <f t="shared" si="9"/>
        <v>1</v>
      </c>
      <c r="AB13" s="8" t="s">
        <v>15</v>
      </c>
      <c r="AC13" s="9">
        <f t="shared" si="10"/>
        <v>0</v>
      </c>
      <c r="AD13" s="8" t="s">
        <v>15</v>
      </c>
      <c r="AE13" s="9">
        <f t="shared" si="11"/>
        <v>0</v>
      </c>
      <c r="AF13" s="8" t="s">
        <v>14</v>
      </c>
      <c r="AG13" s="9">
        <f t="shared" si="12"/>
        <v>0</v>
      </c>
      <c r="AH13" s="8" t="s">
        <v>172</v>
      </c>
      <c r="AI13" s="9">
        <f t="shared" si="13"/>
        <v>0</v>
      </c>
      <c r="AJ13" s="8" t="s">
        <v>16</v>
      </c>
      <c r="AK13" s="9">
        <f t="shared" si="14"/>
        <v>1</v>
      </c>
      <c r="AL13" s="8" t="s">
        <v>172</v>
      </c>
      <c r="AM13" s="9">
        <f t="shared" si="15"/>
        <v>0</v>
      </c>
      <c r="AN13" s="8" t="s">
        <v>198</v>
      </c>
      <c r="AO13" s="9"/>
      <c r="AP13" s="8" t="s">
        <v>125</v>
      </c>
      <c r="AQ13" s="9"/>
      <c r="AR13" s="8" t="s">
        <v>147</v>
      </c>
      <c r="AS13" s="9"/>
      <c r="AT13" s="8" t="s">
        <v>184</v>
      </c>
      <c r="AU13" s="9"/>
      <c r="AV13" s="8" t="s">
        <v>148</v>
      </c>
      <c r="AW13" s="9">
        <f t="shared" si="16"/>
        <v>1</v>
      </c>
      <c r="AX13" s="8" t="s">
        <v>14</v>
      </c>
      <c r="AY13" s="9"/>
      <c r="AZ13" s="8" t="s">
        <v>26</v>
      </c>
      <c r="BA13" s="9"/>
      <c r="BB13" s="8" t="s">
        <v>172</v>
      </c>
      <c r="BC13" s="9"/>
      <c r="BD13" s="8" t="s">
        <v>14</v>
      </c>
      <c r="BE13" s="9"/>
      <c r="BF13" s="8" t="s">
        <v>26</v>
      </c>
      <c r="BG13" s="9"/>
      <c r="BH13" s="8" t="s">
        <v>26</v>
      </c>
      <c r="BI13" s="9"/>
      <c r="BJ13" s="8" t="s">
        <v>26</v>
      </c>
      <c r="BK13" s="9"/>
      <c r="BL13" s="8" t="s">
        <v>20</v>
      </c>
      <c r="BM13" s="9">
        <f t="shared" si="17"/>
        <v>1</v>
      </c>
      <c r="BN13" s="8" t="s">
        <v>149</v>
      </c>
      <c r="BO13" s="9"/>
      <c r="BP13" s="8" t="s">
        <v>152</v>
      </c>
      <c r="BQ13" s="9"/>
      <c r="BR13" s="8" t="s">
        <v>151</v>
      </c>
      <c r="BS13" s="9"/>
      <c r="BT13" s="8" t="s">
        <v>152</v>
      </c>
      <c r="BU13" s="9"/>
      <c r="BV13" s="8" t="s">
        <v>109</v>
      </c>
      <c r="BW13" s="9"/>
      <c r="BX13" s="8" t="s">
        <v>226</v>
      </c>
      <c r="BY13" s="9"/>
      <c r="BZ13" s="8" t="s">
        <v>125</v>
      </c>
      <c r="CA13" s="9"/>
      <c r="CB13" s="8" t="s">
        <v>113</v>
      </c>
      <c r="CC13" s="9"/>
      <c r="CD13" s="8" t="s">
        <v>125</v>
      </c>
      <c r="CE13" s="9"/>
      <c r="CF13" s="8" t="s">
        <v>126</v>
      </c>
      <c r="CG13" s="9"/>
      <c r="CH13" s="8" t="s">
        <v>20</v>
      </c>
      <c r="CI13" s="9"/>
      <c r="CJ13" s="8" t="s">
        <v>1</v>
      </c>
      <c r="CK13" s="9"/>
      <c r="CL13" s="8" t="s">
        <v>185</v>
      </c>
      <c r="CM13" s="9"/>
      <c r="CN13" s="8" t="s">
        <v>156</v>
      </c>
      <c r="CO13" s="9"/>
      <c r="CP13" s="8" t="s">
        <v>207</v>
      </c>
      <c r="CQ13" s="9"/>
      <c r="CR13" s="8" t="s">
        <v>15</v>
      </c>
      <c r="CS13" s="9"/>
      <c r="CT13" s="8" t="s">
        <v>202</v>
      </c>
      <c r="CU13" s="9">
        <f t="shared" si="18"/>
        <v>0</v>
      </c>
      <c r="CV13" s="8" t="s">
        <v>159</v>
      </c>
      <c r="CW13" s="9"/>
      <c r="CX13" s="8" t="s">
        <v>152</v>
      </c>
      <c r="CY13" s="9"/>
      <c r="CZ13" s="8" t="s">
        <v>22</v>
      </c>
      <c r="DA13" s="9">
        <f t="shared" si="19"/>
        <v>1</v>
      </c>
      <c r="DB13" s="8" t="s">
        <v>161</v>
      </c>
      <c r="DC13" s="9"/>
      <c r="DD13" s="8" t="s">
        <v>23</v>
      </c>
      <c r="DE13" s="9">
        <f t="shared" si="20"/>
        <v>1</v>
      </c>
      <c r="DF13" s="8" t="s">
        <v>23</v>
      </c>
      <c r="DG13" s="9">
        <f t="shared" si="21"/>
        <v>1</v>
      </c>
      <c r="DH13" s="8" t="s">
        <v>24</v>
      </c>
      <c r="DI13" s="9">
        <f t="shared" si="22"/>
        <v>1</v>
      </c>
      <c r="DJ13" s="8" t="s">
        <v>162</v>
      </c>
      <c r="DK13" s="9"/>
      <c r="DL13" s="8" t="s">
        <v>179</v>
      </c>
      <c r="DM13" s="9">
        <f t="shared" si="23"/>
        <v>0</v>
      </c>
      <c r="DN13" s="8" t="s">
        <v>20</v>
      </c>
      <c r="DO13" s="9"/>
      <c r="DP13" s="8" t="s">
        <v>20</v>
      </c>
      <c r="DQ13" s="9">
        <f t="shared" si="24"/>
        <v>0</v>
      </c>
      <c r="DR13" s="8" t="s">
        <v>235</v>
      </c>
      <c r="DS13" s="9">
        <f t="shared" si="25"/>
        <v>0</v>
      </c>
      <c r="DT13" s="8" t="s">
        <v>162</v>
      </c>
      <c r="DU13" s="9"/>
      <c r="DV13" s="8" t="s">
        <v>8</v>
      </c>
      <c r="DW13" s="9"/>
      <c r="DX13" s="8" t="s">
        <v>26</v>
      </c>
      <c r="DY13" s="9">
        <v>0</v>
      </c>
      <c r="DZ13" s="8" t="s">
        <v>8</v>
      </c>
      <c r="EA13" s="9"/>
      <c r="EB13" s="8" t="s">
        <v>20</v>
      </c>
      <c r="EC13" s="9"/>
      <c r="ED13" s="8" t="s">
        <v>28</v>
      </c>
      <c r="EE13" s="9">
        <f t="shared" si="26"/>
        <v>1</v>
      </c>
      <c r="EF13" s="8" t="s">
        <v>14</v>
      </c>
      <c r="EG13" s="9">
        <f t="shared" si="27"/>
        <v>0</v>
      </c>
      <c r="EH13" s="8" t="s">
        <v>236</v>
      </c>
      <c r="EI13" s="9"/>
    </row>
    <row r="14" spans="1:139" ht="18">
      <c r="A14" s="3">
        <v>12</v>
      </c>
      <c r="B14" s="3">
        <v>46184.805532407401</v>
      </c>
      <c r="C14" s="3">
        <v>46184.809664351902</v>
      </c>
      <c r="D14" s="3" t="s">
        <v>104</v>
      </c>
      <c r="E14" s="3"/>
      <c r="F14" s="11" t="s">
        <v>237</v>
      </c>
      <c r="G14" s="12">
        <f t="shared" si="28"/>
        <v>11</v>
      </c>
      <c r="H14" s="8" t="s">
        <v>1</v>
      </c>
      <c r="I14" s="9">
        <f t="shared" si="0"/>
        <v>1</v>
      </c>
      <c r="J14" s="8" t="s">
        <v>142</v>
      </c>
      <c r="K14" s="9">
        <f t="shared" si="1"/>
        <v>0</v>
      </c>
      <c r="L14" s="8" t="s">
        <v>108</v>
      </c>
      <c r="M14" s="9">
        <f t="shared" si="2"/>
        <v>0</v>
      </c>
      <c r="N14" s="8" t="s">
        <v>3</v>
      </c>
      <c r="O14" s="9">
        <f t="shared" si="3"/>
        <v>0</v>
      </c>
      <c r="P14" s="8" t="s">
        <v>238</v>
      </c>
      <c r="Q14" s="9">
        <f t="shared" si="4"/>
        <v>1</v>
      </c>
      <c r="R14" s="8" t="s">
        <v>15</v>
      </c>
      <c r="S14" s="9">
        <f t="shared" si="5"/>
        <v>0</v>
      </c>
      <c r="T14" s="8" t="s">
        <v>14</v>
      </c>
      <c r="U14" s="9">
        <f t="shared" si="6"/>
        <v>0</v>
      </c>
      <c r="V14" s="8" t="s">
        <v>214</v>
      </c>
      <c r="W14" s="9">
        <f t="shared" si="7"/>
        <v>0</v>
      </c>
      <c r="X14" s="8" t="s">
        <v>15</v>
      </c>
      <c r="Y14" s="9">
        <f t="shared" si="8"/>
        <v>0</v>
      </c>
      <c r="Z14" s="8" t="s">
        <v>111</v>
      </c>
      <c r="AA14" s="9">
        <f t="shared" si="9"/>
        <v>1</v>
      </c>
      <c r="AB14" s="8" t="s">
        <v>172</v>
      </c>
      <c r="AC14" s="9">
        <f t="shared" si="10"/>
        <v>0</v>
      </c>
      <c r="AD14" s="8" t="s">
        <v>8</v>
      </c>
      <c r="AE14" s="9">
        <f t="shared" si="11"/>
        <v>0</v>
      </c>
      <c r="AF14" s="8" t="s">
        <v>16</v>
      </c>
      <c r="AG14" s="9">
        <f t="shared" si="12"/>
        <v>0</v>
      </c>
      <c r="AH14" s="8" t="s">
        <v>16</v>
      </c>
      <c r="AI14" s="9">
        <f t="shared" si="13"/>
        <v>0</v>
      </c>
      <c r="AJ14" s="8" t="s">
        <v>16</v>
      </c>
      <c r="AK14" s="9">
        <f t="shared" si="14"/>
        <v>1</v>
      </c>
      <c r="AL14" s="8" t="s">
        <v>16</v>
      </c>
      <c r="AM14" s="9">
        <f t="shared" si="15"/>
        <v>0</v>
      </c>
      <c r="AN14" s="8" t="s">
        <v>112</v>
      </c>
      <c r="AO14" s="9"/>
      <c r="AP14" s="8" t="s">
        <v>24</v>
      </c>
      <c r="AQ14" s="9"/>
      <c r="AR14" s="8" t="s">
        <v>183</v>
      </c>
      <c r="AS14" s="9"/>
      <c r="AT14" s="8" t="s">
        <v>184</v>
      </c>
      <c r="AU14" s="9"/>
      <c r="AV14" s="8" t="s">
        <v>148</v>
      </c>
      <c r="AW14" s="9">
        <f t="shared" si="16"/>
        <v>1</v>
      </c>
      <c r="AX14" s="8" t="s">
        <v>14</v>
      </c>
      <c r="AY14" s="9"/>
      <c r="AZ14" s="8" t="s">
        <v>26</v>
      </c>
      <c r="BA14" s="9"/>
      <c r="BB14" s="8" t="s">
        <v>145</v>
      </c>
      <c r="BC14" s="9"/>
      <c r="BD14" s="8" t="s">
        <v>118</v>
      </c>
      <c r="BE14" s="9"/>
      <c r="BF14" s="8" t="s">
        <v>26</v>
      </c>
      <c r="BG14" s="9"/>
      <c r="BH14" s="8" t="s">
        <v>26</v>
      </c>
      <c r="BI14" s="9"/>
      <c r="BJ14" s="8" t="s">
        <v>20</v>
      </c>
      <c r="BK14" s="9"/>
      <c r="BL14" s="8" t="s">
        <v>20</v>
      </c>
      <c r="BM14" s="9">
        <f t="shared" si="17"/>
        <v>1</v>
      </c>
      <c r="BN14" s="8" t="s">
        <v>149</v>
      </c>
      <c r="BO14" s="9"/>
      <c r="BP14" s="8" t="s">
        <v>199</v>
      </c>
      <c r="BQ14" s="9"/>
      <c r="BR14" s="8" t="s">
        <v>215</v>
      </c>
      <c r="BS14" s="9"/>
      <c r="BT14" s="8" t="s">
        <v>152</v>
      </c>
      <c r="BU14" s="9"/>
      <c r="BV14" s="8" t="s">
        <v>216</v>
      </c>
      <c r="BW14" s="9"/>
      <c r="BX14" s="8" t="s">
        <v>154</v>
      </c>
      <c r="BY14" s="9"/>
      <c r="BZ14" s="8" t="s">
        <v>125</v>
      </c>
      <c r="CA14" s="9"/>
      <c r="CB14" s="8" t="s">
        <v>24</v>
      </c>
      <c r="CC14" s="9"/>
      <c r="CD14" s="8" t="s">
        <v>125</v>
      </c>
      <c r="CE14" s="9"/>
      <c r="CF14" s="8" t="s">
        <v>126</v>
      </c>
      <c r="CG14" s="9"/>
      <c r="CH14" s="8" t="s">
        <v>26</v>
      </c>
      <c r="CI14" s="9"/>
      <c r="CJ14" s="8" t="s">
        <v>106</v>
      </c>
      <c r="CK14" s="9"/>
      <c r="CL14" s="8" t="s">
        <v>176</v>
      </c>
      <c r="CM14" s="9"/>
      <c r="CN14" s="8" t="s">
        <v>156</v>
      </c>
      <c r="CO14" s="9"/>
      <c r="CP14" s="8" t="s">
        <v>157</v>
      </c>
      <c r="CQ14" s="9"/>
      <c r="CR14" s="8" t="s">
        <v>130</v>
      </c>
      <c r="CS14" s="9"/>
      <c r="CT14" s="8" t="s">
        <v>202</v>
      </c>
      <c r="CU14" s="9">
        <f t="shared" si="18"/>
        <v>0</v>
      </c>
      <c r="CV14" s="8" t="s">
        <v>159</v>
      </c>
      <c r="CW14" s="9"/>
      <c r="CX14" s="8" t="s">
        <v>152</v>
      </c>
      <c r="CY14" s="9"/>
      <c r="CZ14" s="8" t="s">
        <v>177</v>
      </c>
      <c r="DA14" s="9">
        <f t="shared" si="19"/>
        <v>0</v>
      </c>
      <c r="DB14" s="8" t="s">
        <v>177</v>
      </c>
      <c r="DC14" s="9"/>
      <c r="DD14" s="8" t="s">
        <v>23</v>
      </c>
      <c r="DE14" s="9">
        <f t="shared" si="20"/>
        <v>1</v>
      </c>
      <c r="DF14" s="8" t="s">
        <v>134</v>
      </c>
      <c r="DG14" s="9">
        <f t="shared" si="21"/>
        <v>0</v>
      </c>
      <c r="DH14" s="8" t="s">
        <v>24</v>
      </c>
      <c r="DI14" s="9">
        <f t="shared" si="22"/>
        <v>1</v>
      </c>
      <c r="DJ14" s="8" t="s">
        <v>239</v>
      </c>
      <c r="DK14" s="9"/>
      <c r="DL14" s="8" t="s">
        <v>188</v>
      </c>
      <c r="DM14" s="9">
        <f t="shared" si="23"/>
        <v>0</v>
      </c>
      <c r="DN14" s="8" t="s">
        <v>20</v>
      </c>
      <c r="DO14" s="9"/>
      <c r="DP14" s="8" t="s">
        <v>26</v>
      </c>
      <c r="DQ14" s="9">
        <f t="shared" si="24"/>
        <v>1</v>
      </c>
      <c r="DR14" s="8" t="s">
        <v>137</v>
      </c>
      <c r="DS14" s="9">
        <f t="shared" si="25"/>
        <v>0</v>
      </c>
      <c r="DT14" s="8" t="s">
        <v>138</v>
      </c>
      <c r="DU14" s="9"/>
      <c r="DV14" s="8" t="s">
        <v>8</v>
      </c>
      <c r="DW14" s="9"/>
      <c r="DX14" s="8" t="s">
        <v>20</v>
      </c>
      <c r="DY14" s="9">
        <v>1</v>
      </c>
      <c r="DZ14" s="8" t="s">
        <v>16</v>
      </c>
      <c r="EA14" s="9"/>
      <c r="EB14" s="8" t="s">
        <v>20</v>
      </c>
      <c r="EC14" s="9"/>
      <c r="ED14" s="8" t="s">
        <v>28</v>
      </c>
      <c r="EE14" s="9">
        <f t="shared" si="26"/>
        <v>1</v>
      </c>
      <c r="EF14" s="8" t="s">
        <v>8</v>
      </c>
      <c r="EG14" s="9">
        <f t="shared" si="27"/>
        <v>0</v>
      </c>
      <c r="EH14" s="8" t="s">
        <v>240</v>
      </c>
      <c r="EI14" s="9"/>
    </row>
    <row r="15" spans="1:139" ht="18">
      <c r="A15" s="3">
        <v>13</v>
      </c>
      <c r="B15" s="3">
        <v>46184.811064814799</v>
      </c>
      <c r="C15" s="3">
        <v>46184.818541666697</v>
      </c>
      <c r="D15" s="3" t="s">
        <v>104</v>
      </c>
      <c r="E15" s="3"/>
      <c r="F15" s="11" t="s">
        <v>241</v>
      </c>
      <c r="G15" s="12">
        <f t="shared" si="28"/>
        <v>7</v>
      </c>
      <c r="H15" s="8" t="s">
        <v>106</v>
      </c>
      <c r="I15" s="9">
        <f t="shared" si="0"/>
        <v>0</v>
      </c>
      <c r="J15" s="8" t="s">
        <v>142</v>
      </c>
      <c r="K15" s="9">
        <f t="shared" si="1"/>
        <v>0</v>
      </c>
      <c r="L15" s="8" t="s">
        <v>108</v>
      </c>
      <c r="M15" s="9">
        <f t="shared" si="2"/>
        <v>0</v>
      </c>
      <c r="N15" s="8" t="s">
        <v>242</v>
      </c>
      <c r="O15" s="9">
        <f t="shared" si="3"/>
        <v>0</v>
      </c>
      <c r="P15" s="8" t="s">
        <v>144</v>
      </c>
      <c r="Q15" s="9">
        <f t="shared" si="4"/>
        <v>0</v>
      </c>
      <c r="R15" s="8" t="s">
        <v>8</v>
      </c>
      <c r="S15" s="9">
        <f t="shared" si="5"/>
        <v>1</v>
      </c>
      <c r="T15" s="8" t="s">
        <v>145</v>
      </c>
      <c r="U15" s="9">
        <f t="shared" si="6"/>
        <v>0</v>
      </c>
      <c r="V15" s="8" t="s">
        <v>171</v>
      </c>
      <c r="W15" s="9">
        <f t="shared" si="7"/>
        <v>0</v>
      </c>
      <c r="X15" s="8" t="s">
        <v>8</v>
      </c>
      <c r="Y15" s="9">
        <f t="shared" si="8"/>
        <v>0</v>
      </c>
      <c r="Z15" s="8" t="s">
        <v>16</v>
      </c>
      <c r="AA15" s="9">
        <f t="shared" si="9"/>
        <v>0</v>
      </c>
      <c r="AB15" s="8" t="s">
        <v>8</v>
      </c>
      <c r="AC15" s="9">
        <f t="shared" si="10"/>
        <v>0</v>
      </c>
      <c r="AD15" s="8" t="s">
        <v>8</v>
      </c>
      <c r="AE15" s="9">
        <f t="shared" si="11"/>
        <v>0</v>
      </c>
      <c r="AF15" s="8" t="s">
        <v>8</v>
      </c>
      <c r="AG15" s="9">
        <f t="shared" si="12"/>
        <v>0</v>
      </c>
      <c r="AH15" s="8" t="s">
        <v>8</v>
      </c>
      <c r="AI15" s="9">
        <f t="shared" si="13"/>
        <v>0</v>
      </c>
      <c r="AJ15" s="8" t="s">
        <v>15</v>
      </c>
      <c r="AK15" s="9">
        <f t="shared" si="14"/>
        <v>0</v>
      </c>
      <c r="AL15" s="8" t="s">
        <v>16</v>
      </c>
      <c r="AM15" s="9">
        <f t="shared" si="15"/>
        <v>0</v>
      </c>
      <c r="AN15" s="8" t="s">
        <v>146</v>
      </c>
      <c r="AO15" s="9"/>
      <c r="AP15" s="8" t="s">
        <v>24</v>
      </c>
      <c r="AQ15" s="9"/>
      <c r="AR15" s="8" t="s">
        <v>147</v>
      </c>
      <c r="AS15" s="9"/>
      <c r="AT15" s="8" t="s">
        <v>184</v>
      </c>
      <c r="AU15" s="9"/>
      <c r="AV15" s="8" t="s">
        <v>116</v>
      </c>
      <c r="AW15" s="9">
        <f t="shared" si="16"/>
        <v>0</v>
      </c>
      <c r="AX15" s="8" t="s">
        <v>14</v>
      </c>
      <c r="AY15" s="9"/>
      <c r="AZ15" s="8" t="s">
        <v>26</v>
      </c>
      <c r="BA15" s="9"/>
      <c r="BB15" s="8" t="s">
        <v>15</v>
      </c>
      <c r="BC15" s="9"/>
      <c r="BD15" s="8" t="s">
        <v>118</v>
      </c>
      <c r="BE15" s="9"/>
      <c r="BF15" s="8" t="s">
        <v>26</v>
      </c>
      <c r="BG15" s="9"/>
      <c r="BH15" s="8" t="s">
        <v>26</v>
      </c>
      <c r="BI15" s="9"/>
      <c r="BJ15" s="8" t="s">
        <v>20</v>
      </c>
      <c r="BK15" s="9"/>
      <c r="BL15" s="8" t="s">
        <v>20</v>
      </c>
      <c r="BM15" s="9">
        <f t="shared" si="17"/>
        <v>1</v>
      </c>
      <c r="BN15" s="8" t="s">
        <v>149</v>
      </c>
      <c r="BO15" s="9"/>
      <c r="BP15" s="8" t="s">
        <v>150</v>
      </c>
      <c r="BQ15" s="9"/>
      <c r="BR15" s="8" t="s">
        <v>151</v>
      </c>
      <c r="BS15" s="9"/>
      <c r="BT15" s="8" t="s">
        <v>152</v>
      </c>
      <c r="BU15" s="9"/>
      <c r="BV15" s="8" t="s">
        <v>225</v>
      </c>
      <c r="BW15" s="9"/>
      <c r="BX15" s="8" t="s">
        <v>173</v>
      </c>
      <c r="BY15" s="9"/>
      <c r="BZ15" s="8" t="s">
        <v>24</v>
      </c>
      <c r="CA15" s="9"/>
      <c r="CB15" s="8" t="s">
        <v>243</v>
      </c>
      <c r="CC15" s="9"/>
      <c r="CD15" s="8" t="s">
        <v>184</v>
      </c>
      <c r="CE15" s="9"/>
      <c r="CF15" s="8" t="s">
        <v>126</v>
      </c>
      <c r="CG15" s="9"/>
      <c r="CH15" s="8" t="s">
        <v>26</v>
      </c>
      <c r="CI15" s="9"/>
      <c r="CJ15" s="8" t="s">
        <v>1</v>
      </c>
      <c r="CK15" s="9"/>
      <c r="CL15" s="8" t="s">
        <v>127</v>
      </c>
      <c r="CM15" s="9"/>
      <c r="CN15" s="8" t="s">
        <v>227</v>
      </c>
      <c r="CO15" s="9"/>
      <c r="CP15" s="8" t="s">
        <v>207</v>
      </c>
      <c r="CQ15" s="9"/>
      <c r="CR15" s="8" t="s">
        <v>14</v>
      </c>
      <c r="CS15" s="9"/>
      <c r="CT15" s="8" t="s">
        <v>202</v>
      </c>
      <c r="CU15" s="9">
        <f t="shared" si="18"/>
        <v>0</v>
      </c>
      <c r="CV15" s="8" t="s">
        <v>159</v>
      </c>
      <c r="CW15" s="9"/>
      <c r="CX15" s="8" t="s">
        <v>152</v>
      </c>
      <c r="CY15" s="9"/>
      <c r="CZ15" s="8" t="s">
        <v>161</v>
      </c>
      <c r="DA15" s="9">
        <f t="shared" si="19"/>
        <v>0</v>
      </c>
      <c r="DB15" s="8" t="s">
        <v>177</v>
      </c>
      <c r="DC15" s="9"/>
      <c r="DD15" s="8" t="s">
        <v>23</v>
      </c>
      <c r="DE15" s="9">
        <f t="shared" si="20"/>
        <v>1</v>
      </c>
      <c r="DF15" s="8" t="s">
        <v>23</v>
      </c>
      <c r="DG15" s="9">
        <f t="shared" si="21"/>
        <v>1</v>
      </c>
      <c r="DH15" s="8" t="s">
        <v>24</v>
      </c>
      <c r="DI15" s="9">
        <f t="shared" si="22"/>
        <v>1</v>
      </c>
      <c r="DJ15" s="8" t="s">
        <v>138</v>
      </c>
      <c r="DK15" s="9"/>
      <c r="DL15" s="8" t="s">
        <v>179</v>
      </c>
      <c r="DM15" s="9">
        <f t="shared" si="23"/>
        <v>0</v>
      </c>
      <c r="DN15" s="8" t="s">
        <v>20</v>
      </c>
      <c r="DO15" s="9"/>
      <c r="DP15" s="8" t="s">
        <v>26</v>
      </c>
      <c r="DQ15" s="9">
        <f t="shared" si="24"/>
        <v>1</v>
      </c>
      <c r="DR15" s="8" t="s">
        <v>164</v>
      </c>
      <c r="DS15" s="9">
        <f t="shared" si="25"/>
        <v>0</v>
      </c>
      <c r="DT15" s="8" t="s">
        <v>138</v>
      </c>
      <c r="DU15" s="9"/>
      <c r="DV15" s="8" t="s">
        <v>8</v>
      </c>
      <c r="DW15" s="9"/>
      <c r="DX15" s="8" t="s">
        <v>20</v>
      </c>
      <c r="DY15" s="9">
        <v>1</v>
      </c>
      <c r="DZ15" s="8" t="s">
        <v>16</v>
      </c>
      <c r="EA15" s="9"/>
      <c r="EB15" s="8" t="s">
        <v>26</v>
      </c>
      <c r="EC15" s="9"/>
      <c r="ED15" s="8" t="s">
        <v>244</v>
      </c>
      <c r="EE15" s="9">
        <f t="shared" si="26"/>
        <v>0</v>
      </c>
      <c r="EF15" s="8" t="s">
        <v>15</v>
      </c>
      <c r="EG15" s="9">
        <f t="shared" si="27"/>
        <v>0</v>
      </c>
      <c r="EH15" s="8"/>
      <c r="EI15" s="9"/>
    </row>
    <row r="16" spans="1:139" ht="18">
      <c r="A16" s="3">
        <v>14</v>
      </c>
      <c r="B16" s="3">
        <v>46184.817071759302</v>
      </c>
      <c r="C16" s="3">
        <v>46184.822187500002</v>
      </c>
      <c r="D16" s="3" t="s">
        <v>104</v>
      </c>
      <c r="E16" s="3"/>
      <c r="F16" s="11" t="s">
        <v>245</v>
      </c>
      <c r="G16" s="12">
        <f t="shared" si="28"/>
        <v>8</v>
      </c>
      <c r="H16" s="8" t="s">
        <v>246</v>
      </c>
      <c r="I16" s="9">
        <f t="shared" si="0"/>
        <v>0</v>
      </c>
      <c r="J16" s="8" t="s">
        <v>107</v>
      </c>
      <c r="K16" s="9">
        <f t="shared" si="1"/>
        <v>0</v>
      </c>
      <c r="L16" s="8" t="s">
        <v>108</v>
      </c>
      <c r="M16" s="9">
        <f t="shared" si="2"/>
        <v>0</v>
      </c>
      <c r="N16" s="8" t="s">
        <v>5</v>
      </c>
      <c r="O16" s="9">
        <f t="shared" si="3"/>
        <v>1</v>
      </c>
      <c r="P16" s="8" t="s">
        <v>197</v>
      </c>
      <c r="Q16" s="9">
        <f t="shared" si="4"/>
        <v>0</v>
      </c>
      <c r="R16" s="8" t="s">
        <v>16</v>
      </c>
      <c r="S16" s="9">
        <f t="shared" si="5"/>
        <v>0</v>
      </c>
      <c r="T16" s="8" t="s">
        <v>9</v>
      </c>
      <c r="U16" s="9">
        <f t="shared" si="6"/>
        <v>1</v>
      </c>
      <c r="V16" s="8" t="s">
        <v>214</v>
      </c>
      <c r="W16" s="9">
        <f t="shared" si="7"/>
        <v>0</v>
      </c>
      <c r="X16" s="8" t="s">
        <v>14</v>
      </c>
      <c r="Y16" s="9">
        <f t="shared" si="8"/>
        <v>0</v>
      </c>
      <c r="Z16" s="8" t="s">
        <v>111</v>
      </c>
      <c r="AA16" s="9">
        <f t="shared" si="9"/>
        <v>1</v>
      </c>
      <c r="AB16" s="8" t="s">
        <v>8</v>
      </c>
      <c r="AC16" s="9">
        <f t="shared" si="10"/>
        <v>0</v>
      </c>
      <c r="AD16" s="8" t="s">
        <v>15</v>
      </c>
      <c r="AE16" s="9">
        <f t="shared" si="11"/>
        <v>0</v>
      </c>
      <c r="AF16" s="8" t="s">
        <v>8</v>
      </c>
      <c r="AG16" s="9">
        <f t="shared" si="12"/>
        <v>0</v>
      </c>
      <c r="AH16" s="8" t="s">
        <v>16</v>
      </c>
      <c r="AI16" s="9">
        <f t="shared" si="13"/>
        <v>0</v>
      </c>
      <c r="AJ16" s="8" t="s">
        <v>172</v>
      </c>
      <c r="AK16" s="9">
        <f t="shared" si="14"/>
        <v>0</v>
      </c>
      <c r="AL16" s="8" t="s">
        <v>172</v>
      </c>
      <c r="AM16" s="9">
        <f t="shared" si="15"/>
        <v>0</v>
      </c>
      <c r="AN16" s="8" t="s">
        <v>112</v>
      </c>
      <c r="AO16" s="9"/>
      <c r="AP16" s="8" t="s">
        <v>24</v>
      </c>
      <c r="AQ16" s="9"/>
      <c r="AR16" s="8" t="s">
        <v>147</v>
      </c>
      <c r="AS16" s="9"/>
      <c r="AT16" s="8" t="s">
        <v>247</v>
      </c>
      <c r="AU16" s="9"/>
      <c r="AV16" s="8" t="s">
        <v>148</v>
      </c>
      <c r="AW16" s="9">
        <f t="shared" si="16"/>
        <v>1</v>
      </c>
      <c r="AX16" s="8" t="s">
        <v>14</v>
      </c>
      <c r="AY16" s="9"/>
      <c r="AZ16" s="8" t="s">
        <v>26</v>
      </c>
      <c r="BA16" s="9"/>
      <c r="BB16" s="8" t="s">
        <v>8</v>
      </c>
      <c r="BC16" s="9"/>
      <c r="BD16" s="8" t="s">
        <v>14</v>
      </c>
      <c r="BE16" s="9"/>
      <c r="BF16" s="8" t="s">
        <v>26</v>
      </c>
      <c r="BG16" s="9"/>
      <c r="BH16" s="8" t="s">
        <v>26</v>
      </c>
      <c r="BI16" s="9"/>
      <c r="BJ16" s="8" t="s">
        <v>26</v>
      </c>
      <c r="BK16" s="9"/>
      <c r="BL16" s="8" t="s">
        <v>20</v>
      </c>
      <c r="BM16" s="9">
        <f t="shared" si="17"/>
        <v>1</v>
      </c>
      <c r="BN16" s="8" t="s">
        <v>149</v>
      </c>
      <c r="BO16" s="9"/>
      <c r="BP16" s="8" t="s">
        <v>150</v>
      </c>
      <c r="BQ16" s="9"/>
      <c r="BR16" s="8" t="s">
        <v>248</v>
      </c>
      <c r="BS16" s="9"/>
      <c r="BT16" s="8" t="s">
        <v>152</v>
      </c>
      <c r="BU16" s="9"/>
      <c r="BV16" s="8" t="s">
        <v>153</v>
      </c>
      <c r="BW16" s="9"/>
      <c r="BX16" s="8" t="s">
        <v>173</v>
      </c>
      <c r="BY16" s="9"/>
      <c r="BZ16" s="8" t="s">
        <v>125</v>
      </c>
      <c r="CA16" s="9"/>
      <c r="CB16" s="8" t="s">
        <v>113</v>
      </c>
      <c r="CC16" s="9"/>
      <c r="CD16" s="8" t="s">
        <v>24</v>
      </c>
      <c r="CE16" s="9"/>
      <c r="CF16" s="8" t="s">
        <v>126</v>
      </c>
      <c r="CG16" s="9"/>
      <c r="CH16" s="8" t="s">
        <v>20</v>
      </c>
      <c r="CI16" s="9"/>
      <c r="CJ16" s="8" t="s">
        <v>145</v>
      </c>
      <c r="CK16" s="9"/>
      <c r="CL16" s="8" t="s">
        <v>127</v>
      </c>
      <c r="CM16" s="9"/>
      <c r="CN16" s="8" t="s">
        <v>227</v>
      </c>
      <c r="CO16" s="9"/>
      <c r="CP16" s="8" t="s">
        <v>157</v>
      </c>
      <c r="CQ16" s="9"/>
      <c r="CR16" s="8" t="s">
        <v>15</v>
      </c>
      <c r="CS16" s="9"/>
      <c r="CT16" s="8" t="s">
        <v>202</v>
      </c>
      <c r="CU16" s="9">
        <f t="shared" si="18"/>
        <v>0</v>
      </c>
      <c r="CV16" s="8" t="s">
        <v>159</v>
      </c>
      <c r="CW16" s="9"/>
      <c r="CX16" s="8" t="s">
        <v>152</v>
      </c>
      <c r="CY16" s="9"/>
      <c r="CZ16" s="8" t="s">
        <v>177</v>
      </c>
      <c r="DA16" s="9">
        <f t="shared" si="19"/>
        <v>0</v>
      </c>
      <c r="DB16" s="8" t="s">
        <v>133</v>
      </c>
      <c r="DC16" s="9"/>
      <c r="DD16" s="8" t="s">
        <v>23</v>
      </c>
      <c r="DE16" s="9">
        <f t="shared" si="20"/>
        <v>1</v>
      </c>
      <c r="DF16" s="8" t="s">
        <v>23</v>
      </c>
      <c r="DG16" s="9">
        <f t="shared" si="21"/>
        <v>1</v>
      </c>
      <c r="DH16" s="8" t="s">
        <v>23</v>
      </c>
      <c r="DI16" s="9">
        <f t="shared" si="22"/>
        <v>0</v>
      </c>
      <c r="DJ16" s="8" t="s">
        <v>155</v>
      </c>
      <c r="DK16" s="9"/>
      <c r="DL16" s="8" t="s">
        <v>249</v>
      </c>
      <c r="DM16" s="9">
        <f t="shared" si="23"/>
        <v>0</v>
      </c>
      <c r="DN16" s="8" t="s">
        <v>20</v>
      </c>
      <c r="DO16" s="9"/>
      <c r="DP16" s="8" t="s">
        <v>26</v>
      </c>
      <c r="DQ16" s="9">
        <f t="shared" si="24"/>
        <v>1</v>
      </c>
      <c r="DR16" s="8" t="s">
        <v>164</v>
      </c>
      <c r="DS16" s="9">
        <f t="shared" si="25"/>
        <v>0</v>
      </c>
      <c r="DT16" s="8" t="s">
        <v>138</v>
      </c>
      <c r="DU16" s="9"/>
      <c r="DV16" s="8" t="s">
        <v>8</v>
      </c>
      <c r="DW16" s="9"/>
      <c r="DX16" s="8" t="s">
        <v>26</v>
      </c>
      <c r="DY16" s="9">
        <v>0</v>
      </c>
      <c r="DZ16" s="8" t="s">
        <v>16</v>
      </c>
      <c r="EA16" s="9"/>
      <c r="EB16" s="8" t="s">
        <v>26</v>
      </c>
      <c r="EC16" s="9"/>
      <c r="ED16" s="8" t="s">
        <v>210</v>
      </c>
      <c r="EE16" s="9">
        <f t="shared" si="26"/>
        <v>0</v>
      </c>
      <c r="EF16" s="8" t="s">
        <v>14</v>
      </c>
      <c r="EG16" s="9">
        <f t="shared" si="27"/>
        <v>0</v>
      </c>
      <c r="EH16" s="8" t="s">
        <v>250</v>
      </c>
      <c r="EI16" s="9"/>
    </row>
    <row r="17" spans="1:139" ht="18">
      <c r="A17" s="3">
        <v>15</v>
      </c>
      <c r="B17" s="3">
        <v>46184.842453703699</v>
      </c>
      <c r="C17" s="3">
        <v>46184.850381944401</v>
      </c>
      <c r="D17" s="3" t="s">
        <v>104</v>
      </c>
      <c r="E17" s="3"/>
      <c r="F17" s="11" t="s">
        <v>251</v>
      </c>
      <c r="G17" s="12">
        <f t="shared" si="28"/>
        <v>11</v>
      </c>
      <c r="H17" s="8" t="s">
        <v>246</v>
      </c>
      <c r="I17" s="9">
        <f t="shared" si="0"/>
        <v>0</v>
      </c>
      <c r="J17" s="8" t="s">
        <v>107</v>
      </c>
      <c r="K17" s="9">
        <f t="shared" si="1"/>
        <v>0</v>
      </c>
      <c r="L17" s="8" t="s">
        <v>232</v>
      </c>
      <c r="M17" s="9">
        <f t="shared" si="2"/>
        <v>0</v>
      </c>
      <c r="N17" s="8" t="s">
        <v>5</v>
      </c>
      <c r="O17" s="9">
        <f t="shared" si="3"/>
        <v>1</v>
      </c>
      <c r="P17" s="8" t="s">
        <v>170</v>
      </c>
      <c r="Q17" s="9">
        <f t="shared" si="4"/>
        <v>0</v>
      </c>
      <c r="R17" s="8" t="s">
        <v>8</v>
      </c>
      <c r="S17" s="9">
        <f t="shared" si="5"/>
        <v>1</v>
      </c>
      <c r="T17" s="8" t="s">
        <v>145</v>
      </c>
      <c r="U17" s="9">
        <f t="shared" si="6"/>
        <v>0</v>
      </c>
      <c r="V17" s="8" t="s">
        <v>214</v>
      </c>
      <c r="W17" s="9">
        <f t="shared" si="7"/>
        <v>0</v>
      </c>
      <c r="X17" s="8" t="s">
        <v>8</v>
      </c>
      <c r="Y17" s="9">
        <f t="shared" si="8"/>
        <v>0</v>
      </c>
      <c r="Z17" s="8" t="s">
        <v>8</v>
      </c>
      <c r="AA17" s="9">
        <f t="shared" si="9"/>
        <v>0</v>
      </c>
      <c r="AB17" s="8" t="s">
        <v>16</v>
      </c>
      <c r="AC17" s="9">
        <f t="shared" si="10"/>
        <v>0</v>
      </c>
      <c r="AD17" s="8" t="s">
        <v>8</v>
      </c>
      <c r="AE17" s="9">
        <f t="shared" si="11"/>
        <v>0</v>
      </c>
      <c r="AF17" s="8" t="s">
        <v>15</v>
      </c>
      <c r="AG17" s="9">
        <f t="shared" si="12"/>
        <v>1</v>
      </c>
      <c r="AH17" s="8" t="s">
        <v>16</v>
      </c>
      <c r="AI17" s="9">
        <f t="shared" si="13"/>
        <v>0</v>
      </c>
      <c r="AJ17" s="8" t="s">
        <v>16</v>
      </c>
      <c r="AK17" s="9">
        <f t="shared" si="14"/>
        <v>1</v>
      </c>
      <c r="AL17" s="8" t="s">
        <v>16</v>
      </c>
      <c r="AM17" s="9">
        <f t="shared" si="15"/>
        <v>0</v>
      </c>
      <c r="AN17" s="8" t="s">
        <v>146</v>
      </c>
      <c r="AO17" s="9"/>
      <c r="AP17" s="8" t="s">
        <v>24</v>
      </c>
      <c r="AQ17" s="9"/>
      <c r="AR17" s="8" t="s">
        <v>147</v>
      </c>
      <c r="AS17" s="9"/>
      <c r="AT17" s="8" t="s">
        <v>184</v>
      </c>
      <c r="AU17" s="9"/>
      <c r="AV17" s="8" t="s">
        <v>116</v>
      </c>
      <c r="AW17" s="9">
        <f t="shared" si="16"/>
        <v>0</v>
      </c>
      <c r="AX17" s="8" t="s">
        <v>117</v>
      </c>
      <c r="AY17" s="9"/>
      <c r="AZ17" s="8" t="s">
        <v>26</v>
      </c>
      <c r="BA17" s="9"/>
      <c r="BB17" s="8" t="s">
        <v>8</v>
      </c>
      <c r="BC17" s="9"/>
      <c r="BD17" s="8" t="s">
        <v>8</v>
      </c>
      <c r="BE17" s="9"/>
      <c r="BF17" s="8" t="s">
        <v>26</v>
      </c>
      <c r="BG17" s="9"/>
      <c r="BH17" s="8" t="s">
        <v>26</v>
      </c>
      <c r="BI17" s="9"/>
      <c r="BJ17" s="8" t="s">
        <v>26</v>
      </c>
      <c r="BK17" s="9"/>
      <c r="BL17" s="8" t="s">
        <v>20</v>
      </c>
      <c r="BM17" s="9">
        <f t="shared" si="17"/>
        <v>1</v>
      </c>
      <c r="BN17" s="8" t="s">
        <v>109</v>
      </c>
      <c r="BO17" s="9"/>
      <c r="BP17" s="8" t="s">
        <v>150</v>
      </c>
      <c r="BQ17" s="9"/>
      <c r="BR17" s="8" t="s">
        <v>248</v>
      </c>
      <c r="BS17" s="9"/>
      <c r="BT17" s="8" t="s">
        <v>152</v>
      </c>
      <c r="BU17" s="9"/>
      <c r="BV17" s="8" t="s">
        <v>200</v>
      </c>
      <c r="BW17" s="9"/>
      <c r="BX17" s="8" t="s">
        <v>124</v>
      </c>
      <c r="BY17" s="9"/>
      <c r="BZ17" s="8" t="s">
        <v>125</v>
      </c>
      <c r="CA17" s="9"/>
      <c r="CB17" s="8" t="s">
        <v>113</v>
      </c>
      <c r="CC17" s="9"/>
      <c r="CD17" s="8" t="s">
        <v>174</v>
      </c>
      <c r="CE17" s="9"/>
      <c r="CF17" s="8" t="s">
        <v>126</v>
      </c>
      <c r="CG17" s="9"/>
      <c r="CH17" s="8" t="s">
        <v>20</v>
      </c>
      <c r="CI17" s="9"/>
      <c r="CJ17" s="8" t="s">
        <v>175</v>
      </c>
      <c r="CK17" s="9"/>
      <c r="CL17" s="8" t="s">
        <v>176</v>
      </c>
      <c r="CM17" s="9"/>
      <c r="CN17" s="8" t="s">
        <v>156</v>
      </c>
      <c r="CO17" s="9"/>
      <c r="CP17" s="8" t="s">
        <v>157</v>
      </c>
      <c r="CQ17" s="9"/>
      <c r="CR17" s="8" t="s">
        <v>15</v>
      </c>
      <c r="CS17" s="9"/>
      <c r="CT17" s="8" t="s">
        <v>202</v>
      </c>
      <c r="CU17" s="9">
        <f t="shared" si="18"/>
        <v>0</v>
      </c>
      <c r="CV17" s="8" t="s">
        <v>159</v>
      </c>
      <c r="CW17" s="9"/>
      <c r="CX17" s="8" t="s">
        <v>152</v>
      </c>
      <c r="CY17" s="9"/>
      <c r="CZ17" s="8" t="s">
        <v>22</v>
      </c>
      <c r="DA17" s="9">
        <f t="shared" si="19"/>
        <v>1</v>
      </c>
      <c r="DB17" s="8" t="s">
        <v>177</v>
      </c>
      <c r="DC17" s="9"/>
      <c r="DD17" s="8" t="s">
        <v>23</v>
      </c>
      <c r="DE17" s="9">
        <f t="shared" si="20"/>
        <v>1</v>
      </c>
      <c r="DF17" s="8" t="s">
        <v>23</v>
      </c>
      <c r="DG17" s="9">
        <f t="shared" si="21"/>
        <v>1</v>
      </c>
      <c r="DH17" s="8" t="s">
        <v>24</v>
      </c>
      <c r="DI17" s="9">
        <f t="shared" si="22"/>
        <v>1</v>
      </c>
      <c r="DJ17" s="8" t="s">
        <v>1</v>
      </c>
      <c r="DK17" s="9"/>
      <c r="DL17" s="8" t="s">
        <v>179</v>
      </c>
      <c r="DM17" s="9">
        <f t="shared" si="23"/>
        <v>0</v>
      </c>
      <c r="DN17" s="8" t="s">
        <v>20</v>
      </c>
      <c r="DO17" s="9"/>
      <c r="DP17" s="8" t="s">
        <v>20</v>
      </c>
      <c r="DQ17" s="9">
        <f t="shared" si="24"/>
        <v>0</v>
      </c>
      <c r="DR17" s="8" t="s">
        <v>164</v>
      </c>
      <c r="DS17" s="9">
        <f t="shared" si="25"/>
        <v>0</v>
      </c>
      <c r="DT17" s="8" t="s">
        <v>162</v>
      </c>
      <c r="DU17" s="9"/>
      <c r="DV17" s="8" t="s">
        <v>111</v>
      </c>
      <c r="DW17" s="9"/>
      <c r="DX17" s="8" t="s">
        <v>26</v>
      </c>
      <c r="DY17" s="9">
        <v>0</v>
      </c>
      <c r="DZ17" s="8" t="s">
        <v>8</v>
      </c>
      <c r="EA17" s="9"/>
      <c r="EB17" s="8" t="s">
        <v>20</v>
      </c>
      <c r="EC17" s="9"/>
      <c r="ED17" s="8" t="s">
        <v>28</v>
      </c>
      <c r="EE17" s="9">
        <f t="shared" si="26"/>
        <v>1</v>
      </c>
      <c r="EF17" s="8" t="s">
        <v>29</v>
      </c>
      <c r="EG17" s="9">
        <f t="shared" si="27"/>
        <v>1</v>
      </c>
      <c r="EH17" s="8" t="s">
        <v>252</v>
      </c>
      <c r="EI17" s="9"/>
    </row>
    <row r="18" spans="1:139" ht="18">
      <c r="A18" s="3">
        <v>16</v>
      </c>
      <c r="B18" s="3">
        <v>46184.847777777803</v>
      </c>
      <c r="C18" s="3">
        <v>46184.8593287037</v>
      </c>
      <c r="D18" s="3" t="s">
        <v>104</v>
      </c>
      <c r="E18" s="3"/>
      <c r="F18" s="11" t="s">
        <v>253</v>
      </c>
      <c r="G18" s="12">
        <f t="shared" si="28"/>
        <v>14</v>
      </c>
      <c r="H18" s="8" t="s">
        <v>106</v>
      </c>
      <c r="I18" s="9">
        <f t="shared" si="0"/>
        <v>0</v>
      </c>
      <c r="J18" s="8" t="s">
        <v>142</v>
      </c>
      <c r="K18" s="9">
        <f t="shared" si="1"/>
        <v>0</v>
      </c>
      <c r="L18" s="8" t="s">
        <v>232</v>
      </c>
      <c r="M18" s="9">
        <f t="shared" si="2"/>
        <v>0</v>
      </c>
      <c r="N18" s="8" t="s">
        <v>206</v>
      </c>
      <c r="O18" s="9">
        <f t="shared" si="3"/>
        <v>0</v>
      </c>
      <c r="P18" s="8" t="s">
        <v>170</v>
      </c>
      <c r="Q18" s="9">
        <f t="shared" si="4"/>
        <v>0</v>
      </c>
      <c r="R18" s="8" t="s">
        <v>8</v>
      </c>
      <c r="S18" s="9">
        <f t="shared" si="5"/>
        <v>1</v>
      </c>
      <c r="T18" s="8" t="s">
        <v>14</v>
      </c>
      <c r="U18" s="9">
        <f t="shared" si="6"/>
        <v>0</v>
      </c>
      <c r="V18" s="8" t="s">
        <v>173</v>
      </c>
      <c r="W18" s="9">
        <f t="shared" si="7"/>
        <v>1</v>
      </c>
      <c r="X18" s="8" t="s">
        <v>8</v>
      </c>
      <c r="Y18" s="9">
        <f t="shared" si="8"/>
        <v>0</v>
      </c>
      <c r="Z18" s="8" t="s">
        <v>111</v>
      </c>
      <c r="AA18" s="9">
        <f t="shared" si="9"/>
        <v>1</v>
      </c>
      <c r="AB18" s="8" t="s">
        <v>15</v>
      </c>
      <c r="AC18" s="9">
        <f t="shared" si="10"/>
        <v>0</v>
      </c>
      <c r="AD18" s="8" t="s">
        <v>14</v>
      </c>
      <c r="AE18" s="9">
        <f t="shared" si="11"/>
        <v>1</v>
      </c>
      <c r="AF18" s="8" t="s">
        <v>14</v>
      </c>
      <c r="AG18" s="9">
        <f t="shared" si="12"/>
        <v>0</v>
      </c>
      <c r="AH18" s="8" t="s">
        <v>8</v>
      </c>
      <c r="AI18" s="9">
        <f t="shared" si="13"/>
        <v>0</v>
      </c>
      <c r="AJ18" s="8" t="s">
        <v>16</v>
      </c>
      <c r="AK18" s="9">
        <f t="shared" si="14"/>
        <v>1</v>
      </c>
      <c r="AL18" s="8" t="s">
        <v>8</v>
      </c>
      <c r="AM18" s="9">
        <f t="shared" si="15"/>
        <v>1</v>
      </c>
      <c r="AN18" s="8" t="s">
        <v>112</v>
      </c>
      <c r="AO18" s="9"/>
      <c r="AP18" s="8" t="s">
        <v>125</v>
      </c>
      <c r="AQ18" s="9"/>
      <c r="AR18" s="8" t="s">
        <v>147</v>
      </c>
      <c r="AS18" s="9"/>
      <c r="AT18" s="8" t="s">
        <v>184</v>
      </c>
      <c r="AU18" s="9"/>
      <c r="AV18" s="8" t="s">
        <v>148</v>
      </c>
      <c r="AW18" s="9">
        <f t="shared" si="16"/>
        <v>1</v>
      </c>
      <c r="AX18" s="8" t="s">
        <v>9</v>
      </c>
      <c r="AY18" s="9"/>
      <c r="AZ18" s="8" t="s">
        <v>26</v>
      </c>
      <c r="BA18" s="9"/>
      <c r="BB18" s="8" t="s">
        <v>15</v>
      </c>
      <c r="BC18" s="9"/>
      <c r="BD18" s="8" t="s">
        <v>118</v>
      </c>
      <c r="BE18" s="9"/>
      <c r="BF18" s="8" t="s">
        <v>26</v>
      </c>
      <c r="BG18" s="9"/>
      <c r="BH18" s="8" t="s">
        <v>20</v>
      </c>
      <c r="BI18" s="9"/>
      <c r="BJ18" s="8" t="s">
        <v>26</v>
      </c>
      <c r="BK18" s="9"/>
      <c r="BL18" s="8" t="s">
        <v>20</v>
      </c>
      <c r="BM18" s="9">
        <f t="shared" si="17"/>
        <v>1</v>
      </c>
      <c r="BN18" s="8" t="s">
        <v>119</v>
      </c>
      <c r="BO18" s="9"/>
      <c r="BP18" s="8" t="s">
        <v>199</v>
      </c>
      <c r="BQ18" s="9"/>
      <c r="BR18" s="8" t="s">
        <v>254</v>
      </c>
      <c r="BS18" s="9"/>
      <c r="BT18" s="8" t="s">
        <v>152</v>
      </c>
      <c r="BU18" s="9"/>
      <c r="BV18" s="8" t="s">
        <v>109</v>
      </c>
      <c r="BW18" s="9"/>
      <c r="BX18" s="8" t="s">
        <v>124</v>
      </c>
      <c r="BY18" s="9"/>
      <c r="BZ18" s="8" t="s">
        <v>125</v>
      </c>
      <c r="CA18" s="9"/>
      <c r="CB18" s="8" t="s">
        <v>243</v>
      </c>
      <c r="CC18" s="9"/>
      <c r="CD18" s="8" t="s">
        <v>125</v>
      </c>
      <c r="CE18" s="9"/>
      <c r="CF18" s="8" t="s">
        <v>126</v>
      </c>
      <c r="CG18" s="9"/>
      <c r="CH18" s="8" t="s">
        <v>26</v>
      </c>
      <c r="CI18" s="9"/>
      <c r="CJ18" s="8" t="s">
        <v>1</v>
      </c>
      <c r="CK18" s="9"/>
      <c r="CL18" s="8" t="s">
        <v>185</v>
      </c>
      <c r="CM18" s="9"/>
      <c r="CN18" s="8" t="s">
        <v>128</v>
      </c>
      <c r="CO18" s="9"/>
      <c r="CP18" s="8" t="s">
        <v>157</v>
      </c>
      <c r="CQ18" s="9"/>
      <c r="CR18" s="8" t="s">
        <v>130</v>
      </c>
      <c r="CS18" s="9"/>
      <c r="CT18" s="8" t="s">
        <v>21</v>
      </c>
      <c r="CU18" s="9">
        <f t="shared" si="18"/>
        <v>1</v>
      </c>
      <c r="CV18" s="8" t="s">
        <v>159</v>
      </c>
      <c r="CW18" s="9"/>
      <c r="CX18" s="8" t="s">
        <v>152</v>
      </c>
      <c r="CY18" s="9"/>
      <c r="CZ18" s="8" t="s">
        <v>22</v>
      </c>
      <c r="DA18" s="9">
        <f t="shared" si="19"/>
        <v>1</v>
      </c>
      <c r="DB18" s="8" t="s">
        <v>161</v>
      </c>
      <c r="DC18" s="9"/>
      <c r="DD18" s="8" t="s">
        <v>23</v>
      </c>
      <c r="DE18" s="9">
        <f t="shared" si="20"/>
        <v>1</v>
      </c>
      <c r="DF18" s="8" t="s">
        <v>134</v>
      </c>
      <c r="DG18" s="9">
        <f t="shared" si="21"/>
        <v>0</v>
      </c>
      <c r="DH18" s="8" t="s">
        <v>24</v>
      </c>
      <c r="DI18" s="9">
        <f t="shared" si="22"/>
        <v>1</v>
      </c>
      <c r="DJ18" s="8" t="s">
        <v>255</v>
      </c>
      <c r="DK18" s="9"/>
      <c r="DL18" s="8" t="s">
        <v>179</v>
      </c>
      <c r="DM18" s="9">
        <f t="shared" si="23"/>
        <v>0</v>
      </c>
      <c r="DN18" s="8" t="s">
        <v>20</v>
      </c>
      <c r="DO18" s="9"/>
      <c r="DP18" s="8" t="s">
        <v>26</v>
      </c>
      <c r="DQ18" s="9">
        <f t="shared" si="24"/>
        <v>1</v>
      </c>
      <c r="DR18" s="8" t="s">
        <v>27</v>
      </c>
      <c r="DS18" s="9">
        <f t="shared" si="25"/>
        <v>1</v>
      </c>
      <c r="DT18" s="8" t="s">
        <v>138</v>
      </c>
      <c r="DU18" s="9"/>
      <c r="DV18" s="8" t="s">
        <v>111</v>
      </c>
      <c r="DW18" s="9"/>
      <c r="DX18" s="8" t="s">
        <v>26</v>
      </c>
      <c r="DY18" s="9">
        <v>0</v>
      </c>
      <c r="DZ18" s="8" t="s">
        <v>8</v>
      </c>
      <c r="EA18" s="9"/>
      <c r="EB18" s="8" t="s">
        <v>20</v>
      </c>
      <c r="EC18" s="9"/>
      <c r="ED18" s="8" t="s">
        <v>210</v>
      </c>
      <c r="EE18" s="9">
        <f t="shared" si="26"/>
        <v>0</v>
      </c>
      <c r="EF18" s="8" t="s">
        <v>14</v>
      </c>
      <c r="EG18" s="9">
        <f t="shared" si="27"/>
        <v>0</v>
      </c>
      <c r="EH18" s="8" t="s">
        <v>250</v>
      </c>
      <c r="EI18" s="9"/>
    </row>
    <row r="19" spans="1:139" ht="18">
      <c r="A19" s="3">
        <v>17</v>
      </c>
      <c r="B19" s="3">
        <v>46184.866249999999</v>
      </c>
      <c r="C19" s="3">
        <v>46184.871238425898</v>
      </c>
      <c r="D19" s="3" t="s">
        <v>104</v>
      </c>
      <c r="E19" s="3"/>
      <c r="F19" s="11" t="s">
        <v>256</v>
      </c>
      <c r="G19" s="12">
        <f t="shared" si="28"/>
        <v>10</v>
      </c>
      <c r="H19" s="8" t="s">
        <v>135</v>
      </c>
      <c r="I19" s="9">
        <f t="shared" si="0"/>
        <v>0</v>
      </c>
      <c r="J19" s="8" t="s">
        <v>142</v>
      </c>
      <c r="K19" s="9">
        <f t="shared" si="1"/>
        <v>0</v>
      </c>
      <c r="L19" s="8" t="s">
        <v>108</v>
      </c>
      <c r="M19" s="9">
        <f t="shared" si="2"/>
        <v>0</v>
      </c>
      <c r="N19" s="8" t="s">
        <v>257</v>
      </c>
      <c r="O19" s="9">
        <f t="shared" si="3"/>
        <v>0</v>
      </c>
      <c r="P19" s="8" t="s">
        <v>170</v>
      </c>
      <c r="Q19" s="9">
        <f t="shared" si="4"/>
        <v>0</v>
      </c>
      <c r="R19" s="8" t="s">
        <v>15</v>
      </c>
      <c r="S19" s="9">
        <f t="shared" si="5"/>
        <v>0</v>
      </c>
      <c r="T19" s="8" t="s">
        <v>14</v>
      </c>
      <c r="U19" s="9">
        <f t="shared" si="6"/>
        <v>0</v>
      </c>
      <c r="V19" s="8" t="s">
        <v>214</v>
      </c>
      <c r="W19" s="9">
        <f t="shared" si="7"/>
        <v>0</v>
      </c>
      <c r="X19" s="8" t="s">
        <v>16</v>
      </c>
      <c r="Y19" s="9">
        <f t="shared" si="8"/>
        <v>1</v>
      </c>
      <c r="Z19" s="8" t="s">
        <v>8</v>
      </c>
      <c r="AA19" s="9">
        <f t="shared" si="9"/>
        <v>0</v>
      </c>
      <c r="AB19" s="8" t="s">
        <v>8</v>
      </c>
      <c r="AC19" s="9">
        <f t="shared" si="10"/>
        <v>0</v>
      </c>
      <c r="AD19" s="8" t="s">
        <v>8</v>
      </c>
      <c r="AE19" s="9">
        <f t="shared" si="11"/>
        <v>0</v>
      </c>
      <c r="AF19" s="8" t="s">
        <v>15</v>
      </c>
      <c r="AG19" s="9">
        <f t="shared" si="12"/>
        <v>1</v>
      </c>
      <c r="AH19" s="8" t="s">
        <v>8</v>
      </c>
      <c r="AI19" s="9">
        <f t="shared" si="13"/>
        <v>0</v>
      </c>
      <c r="AJ19" s="8" t="s">
        <v>16</v>
      </c>
      <c r="AK19" s="9">
        <f t="shared" si="14"/>
        <v>1</v>
      </c>
      <c r="AL19" s="8" t="s">
        <v>172</v>
      </c>
      <c r="AM19" s="9">
        <f t="shared" si="15"/>
        <v>0</v>
      </c>
      <c r="AN19" s="8" t="s">
        <v>112</v>
      </c>
      <c r="AO19" s="9"/>
      <c r="AP19" s="8" t="s">
        <v>24</v>
      </c>
      <c r="AQ19" s="9"/>
      <c r="AR19" s="8"/>
      <c r="AS19" s="9"/>
      <c r="AT19" s="8" t="s">
        <v>115</v>
      </c>
      <c r="AU19" s="9"/>
      <c r="AV19" s="8" t="s">
        <v>223</v>
      </c>
      <c r="AW19" s="9">
        <f t="shared" si="16"/>
        <v>1</v>
      </c>
      <c r="AX19" s="8" t="s">
        <v>14</v>
      </c>
      <c r="AY19" s="9"/>
      <c r="AZ19" s="8" t="s">
        <v>26</v>
      </c>
      <c r="BA19" s="9"/>
      <c r="BB19" s="8" t="s">
        <v>15</v>
      </c>
      <c r="BC19" s="9"/>
      <c r="BD19" s="8" t="s">
        <v>15</v>
      </c>
      <c r="BE19" s="9"/>
      <c r="BF19" s="8" t="s">
        <v>26</v>
      </c>
      <c r="BG19" s="9"/>
      <c r="BH19" s="8" t="s">
        <v>26</v>
      </c>
      <c r="BI19" s="9"/>
      <c r="BJ19" s="8" t="s">
        <v>26</v>
      </c>
      <c r="BK19" s="9"/>
      <c r="BL19" s="8" t="s">
        <v>20</v>
      </c>
      <c r="BM19" s="9">
        <f t="shared" si="17"/>
        <v>1</v>
      </c>
      <c r="BN19" s="8" t="s">
        <v>199</v>
      </c>
      <c r="BO19" s="9"/>
      <c r="BP19" s="8" t="s">
        <v>258</v>
      </c>
      <c r="BQ19" s="9"/>
      <c r="BR19" s="8" t="s">
        <v>215</v>
      </c>
      <c r="BS19" s="9"/>
      <c r="BT19" s="8" t="s">
        <v>186</v>
      </c>
      <c r="BU19" s="9"/>
      <c r="BV19" s="8" t="s">
        <v>123</v>
      </c>
      <c r="BW19" s="9"/>
      <c r="BX19" s="8" t="s">
        <v>173</v>
      </c>
      <c r="BY19" s="9"/>
      <c r="BZ19" s="8" t="s">
        <v>24</v>
      </c>
      <c r="CA19" s="9"/>
      <c r="CB19" s="8" t="s">
        <v>174</v>
      </c>
      <c r="CC19" s="9"/>
      <c r="CD19" s="8" t="s">
        <v>24</v>
      </c>
      <c r="CE19" s="9"/>
      <c r="CF19" s="8" t="s">
        <v>126</v>
      </c>
      <c r="CG19" s="9"/>
      <c r="CH19" s="8" t="s">
        <v>26</v>
      </c>
      <c r="CI19" s="9"/>
      <c r="CJ19" s="8" t="s">
        <v>175</v>
      </c>
      <c r="CK19" s="9"/>
      <c r="CL19" s="8" t="s">
        <v>176</v>
      </c>
      <c r="CM19" s="9"/>
      <c r="CN19" s="8" t="s">
        <v>156</v>
      </c>
      <c r="CO19" s="9"/>
      <c r="CP19" s="8" t="s">
        <v>201</v>
      </c>
      <c r="CQ19" s="9"/>
      <c r="CR19" s="8" t="s">
        <v>15</v>
      </c>
      <c r="CS19" s="9"/>
      <c r="CT19" s="8" t="s">
        <v>202</v>
      </c>
      <c r="CU19" s="9">
        <f t="shared" si="18"/>
        <v>0</v>
      </c>
      <c r="CV19" s="8" t="s">
        <v>159</v>
      </c>
      <c r="CW19" s="9"/>
      <c r="CX19" s="8" t="s">
        <v>152</v>
      </c>
      <c r="CY19" s="9"/>
      <c r="CZ19" s="8" t="s">
        <v>22</v>
      </c>
      <c r="DA19" s="9">
        <f t="shared" si="19"/>
        <v>1</v>
      </c>
      <c r="DB19" s="8" t="s">
        <v>177</v>
      </c>
      <c r="DC19" s="9"/>
      <c r="DD19" s="8" t="s">
        <v>23</v>
      </c>
      <c r="DE19" s="9">
        <f t="shared" si="20"/>
        <v>1</v>
      </c>
      <c r="DF19" s="8" t="s">
        <v>23</v>
      </c>
      <c r="DG19" s="9">
        <f t="shared" si="21"/>
        <v>1</v>
      </c>
      <c r="DH19" s="8" t="s">
        <v>24</v>
      </c>
      <c r="DI19" s="9">
        <f t="shared" si="22"/>
        <v>1</v>
      </c>
      <c r="DJ19" s="8" t="s">
        <v>1</v>
      </c>
      <c r="DK19" s="9"/>
      <c r="DL19" s="8" t="s">
        <v>179</v>
      </c>
      <c r="DM19" s="9">
        <f t="shared" si="23"/>
        <v>0</v>
      </c>
      <c r="DN19" s="8" t="s">
        <v>20</v>
      </c>
      <c r="DO19" s="9"/>
      <c r="DP19" s="8" t="s">
        <v>26</v>
      </c>
      <c r="DQ19" s="9">
        <f t="shared" si="24"/>
        <v>1</v>
      </c>
      <c r="DR19" s="8" t="s">
        <v>137</v>
      </c>
      <c r="DS19" s="9">
        <f t="shared" si="25"/>
        <v>0</v>
      </c>
      <c r="DT19" s="8" t="s">
        <v>162</v>
      </c>
      <c r="DU19" s="9"/>
      <c r="DV19" s="8" t="s">
        <v>8</v>
      </c>
      <c r="DW19" s="9"/>
      <c r="DX19" s="8" t="s">
        <v>26</v>
      </c>
      <c r="DY19" s="9">
        <v>0</v>
      </c>
      <c r="DZ19" s="8" t="s">
        <v>8</v>
      </c>
      <c r="EA19" s="9"/>
      <c r="EB19" s="8" t="s">
        <v>26</v>
      </c>
      <c r="EC19" s="9"/>
      <c r="ED19" s="8" t="s">
        <v>165</v>
      </c>
      <c r="EE19" s="9">
        <f t="shared" si="26"/>
        <v>0</v>
      </c>
      <c r="EF19" s="8" t="s">
        <v>14</v>
      </c>
      <c r="EG19" s="9">
        <f t="shared" si="27"/>
        <v>0</v>
      </c>
      <c r="EH19" s="8" t="s">
        <v>259</v>
      </c>
      <c r="EI19" s="9"/>
    </row>
    <row r="20" spans="1:139" ht="18">
      <c r="A20" s="3">
        <v>18</v>
      </c>
      <c r="B20" s="3">
        <v>46184.864340277803</v>
      </c>
      <c r="C20" s="3">
        <v>46184.871724536999</v>
      </c>
      <c r="D20" s="3" t="s">
        <v>104</v>
      </c>
      <c r="E20" s="3"/>
      <c r="F20" s="11" t="s">
        <v>260</v>
      </c>
      <c r="G20" s="12">
        <f t="shared" si="28"/>
        <v>9</v>
      </c>
      <c r="H20" s="8" t="s">
        <v>106</v>
      </c>
      <c r="I20" s="9">
        <f t="shared" si="0"/>
        <v>0</v>
      </c>
      <c r="J20" s="8" t="s">
        <v>142</v>
      </c>
      <c r="K20" s="9">
        <f t="shared" si="1"/>
        <v>0</v>
      </c>
      <c r="L20" s="8" t="s">
        <v>108</v>
      </c>
      <c r="M20" s="9">
        <f t="shared" si="2"/>
        <v>0</v>
      </c>
      <c r="N20" s="8" t="s">
        <v>232</v>
      </c>
      <c r="O20" s="9">
        <f t="shared" si="3"/>
        <v>0</v>
      </c>
      <c r="P20" s="8" t="s">
        <v>233</v>
      </c>
      <c r="Q20" s="9">
        <f t="shared" si="4"/>
        <v>0</v>
      </c>
      <c r="R20" s="8" t="s">
        <v>8</v>
      </c>
      <c r="S20" s="9">
        <f t="shared" si="5"/>
        <v>1</v>
      </c>
      <c r="T20" s="8" t="s">
        <v>145</v>
      </c>
      <c r="U20" s="9">
        <f t="shared" si="6"/>
        <v>0</v>
      </c>
      <c r="V20" s="8" t="s">
        <v>171</v>
      </c>
      <c r="W20" s="9">
        <f t="shared" si="7"/>
        <v>0</v>
      </c>
      <c r="X20" s="8" t="s">
        <v>8</v>
      </c>
      <c r="Y20" s="9">
        <f t="shared" si="8"/>
        <v>0</v>
      </c>
      <c r="Z20" s="8" t="s">
        <v>8</v>
      </c>
      <c r="AA20" s="9">
        <f t="shared" si="9"/>
        <v>0</v>
      </c>
      <c r="AB20" s="8" t="s">
        <v>16</v>
      </c>
      <c r="AC20" s="9">
        <f t="shared" si="10"/>
        <v>0</v>
      </c>
      <c r="AD20" s="8" t="s">
        <v>8</v>
      </c>
      <c r="AE20" s="9">
        <f t="shared" si="11"/>
        <v>0</v>
      </c>
      <c r="AF20" s="8" t="s">
        <v>8</v>
      </c>
      <c r="AG20" s="9">
        <f t="shared" si="12"/>
        <v>0</v>
      </c>
      <c r="AH20" s="8" t="s">
        <v>8</v>
      </c>
      <c r="AI20" s="9">
        <f t="shared" si="13"/>
        <v>0</v>
      </c>
      <c r="AJ20" s="8" t="s">
        <v>8</v>
      </c>
      <c r="AK20" s="9">
        <f t="shared" si="14"/>
        <v>0</v>
      </c>
      <c r="AL20" s="8" t="s">
        <v>16</v>
      </c>
      <c r="AM20" s="9">
        <f t="shared" si="15"/>
        <v>0</v>
      </c>
      <c r="AN20" s="8" t="s">
        <v>198</v>
      </c>
      <c r="AO20" s="9"/>
      <c r="AP20" s="8" t="s">
        <v>125</v>
      </c>
      <c r="AQ20" s="9"/>
      <c r="AR20" s="8" t="s">
        <v>183</v>
      </c>
      <c r="AS20" s="9"/>
      <c r="AT20" s="8" t="s">
        <v>184</v>
      </c>
      <c r="AU20" s="9"/>
      <c r="AV20" s="8" t="s">
        <v>148</v>
      </c>
      <c r="AW20" s="9">
        <f t="shared" si="16"/>
        <v>1</v>
      </c>
      <c r="AX20" s="8" t="s">
        <v>14</v>
      </c>
      <c r="AY20" s="9"/>
      <c r="AZ20" s="8" t="s">
        <v>20</v>
      </c>
      <c r="BA20" s="9"/>
      <c r="BB20" s="8" t="s">
        <v>8</v>
      </c>
      <c r="BC20" s="9"/>
      <c r="BD20" s="8" t="s">
        <v>8</v>
      </c>
      <c r="BE20" s="9"/>
      <c r="BF20" s="8" t="s">
        <v>26</v>
      </c>
      <c r="BG20" s="9"/>
      <c r="BH20" s="8" t="s">
        <v>26</v>
      </c>
      <c r="BI20" s="9"/>
      <c r="BJ20" s="8" t="s">
        <v>20</v>
      </c>
      <c r="BK20" s="9"/>
      <c r="BL20" s="8" t="s">
        <v>20</v>
      </c>
      <c r="BM20" s="9">
        <f t="shared" si="17"/>
        <v>1</v>
      </c>
      <c r="BN20" s="8" t="s">
        <v>224</v>
      </c>
      <c r="BO20" s="9"/>
      <c r="BP20" s="8" t="s">
        <v>152</v>
      </c>
      <c r="BQ20" s="9"/>
      <c r="BR20" s="8" t="s">
        <v>151</v>
      </c>
      <c r="BS20" s="9"/>
      <c r="BT20" s="8" t="s">
        <v>152</v>
      </c>
      <c r="BU20" s="9"/>
      <c r="BV20" s="8" t="s">
        <v>123</v>
      </c>
      <c r="BW20" s="9"/>
      <c r="BX20" s="8" t="s">
        <v>173</v>
      </c>
      <c r="BY20" s="9"/>
      <c r="BZ20" s="8" t="s">
        <v>23</v>
      </c>
      <c r="CA20" s="9"/>
      <c r="CB20" s="8" t="s">
        <v>125</v>
      </c>
      <c r="CC20" s="9"/>
      <c r="CD20" s="8" t="s">
        <v>261</v>
      </c>
      <c r="CE20" s="9"/>
      <c r="CF20" s="8" t="s">
        <v>126</v>
      </c>
      <c r="CG20" s="9"/>
      <c r="CH20" s="8" t="s">
        <v>26</v>
      </c>
      <c r="CI20" s="9"/>
      <c r="CJ20" s="8" t="s">
        <v>218</v>
      </c>
      <c r="CK20" s="9"/>
      <c r="CL20" s="8" t="s">
        <v>127</v>
      </c>
      <c r="CM20" s="9"/>
      <c r="CN20" s="8" t="s">
        <v>156</v>
      </c>
      <c r="CO20" s="9"/>
      <c r="CP20" s="8" t="s">
        <v>201</v>
      </c>
      <c r="CQ20" s="9"/>
      <c r="CR20" s="8" t="s">
        <v>15</v>
      </c>
      <c r="CS20" s="9"/>
      <c r="CT20" s="8" t="s">
        <v>202</v>
      </c>
      <c r="CU20" s="9">
        <f t="shared" si="18"/>
        <v>0</v>
      </c>
      <c r="CV20" s="8" t="s">
        <v>159</v>
      </c>
      <c r="CW20" s="9"/>
      <c r="CX20" s="8" t="s">
        <v>152</v>
      </c>
      <c r="CY20" s="9"/>
      <c r="CZ20" s="8" t="s">
        <v>161</v>
      </c>
      <c r="DA20" s="9">
        <f t="shared" si="19"/>
        <v>0</v>
      </c>
      <c r="DB20" s="8" t="s">
        <v>177</v>
      </c>
      <c r="DC20" s="9"/>
      <c r="DD20" s="8" t="s">
        <v>23</v>
      </c>
      <c r="DE20" s="9">
        <f t="shared" si="20"/>
        <v>1</v>
      </c>
      <c r="DF20" s="8" t="s">
        <v>23</v>
      </c>
      <c r="DG20" s="9">
        <f t="shared" si="21"/>
        <v>1</v>
      </c>
      <c r="DH20" s="8" t="s">
        <v>134</v>
      </c>
      <c r="DI20" s="9">
        <f t="shared" si="22"/>
        <v>0</v>
      </c>
      <c r="DJ20" s="8" t="s">
        <v>16</v>
      </c>
      <c r="DK20" s="9"/>
      <c r="DL20" s="8" t="s">
        <v>163</v>
      </c>
      <c r="DM20" s="9">
        <f t="shared" si="23"/>
        <v>0</v>
      </c>
      <c r="DN20" s="8" t="s">
        <v>20</v>
      </c>
      <c r="DO20" s="9"/>
      <c r="DP20" s="8" t="s">
        <v>26</v>
      </c>
      <c r="DQ20" s="9">
        <f t="shared" si="24"/>
        <v>1</v>
      </c>
      <c r="DR20" s="8" t="s">
        <v>27</v>
      </c>
      <c r="DS20" s="9">
        <f t="shared" si="25"/>
        <v>1</v>
      </c>
      <c r="DT20" s="8" t="s">
        <v>262</v>
      </c>
      <c r="DU20" s="9"/>
      <c r="DV20" s="8" t="s">
        <v>16</v>
      </c>
      <c r="DW20" s="9"/>
      <c r="DX20" s="8" t="s">
        <v>20</v>
      </c>
      <c r="DY20" s="9">
        <v>1</v>
      </c>
      <c r="DZ20" s="8" t="s">
        <v>15</v>
      </c>
      <c r="EA20" s="9"/>
      <c r="EB20" s="8" t="s">
        <v>20</v>
      </c>
      <c r="EC20" s="9"/>
      <c r="ED20" s="8" t="s">
        <v>165</v>
      </c>
      <c r="EE20" s="9">
        <f t="shared" si="26"/>
        <v>0</v>
      </c>
      <c r="EF20" s="8" t="s">
        <v>29</v>
      </c>
      <c r="EG20" s="9">
        <f t="shared" si="27"/>
        <v>1</v>
      </c>
      <c r="EH20" s="8" t="s">
        <v>263</v>
      </c>
      <c r="EI20" s="9"/>
    </row>
    <row r="21" spans="1:139" ht="18">
      <c r="A21" s="3">
        <v>19</v>
      </c>
      <c r="B21" s="3">
        <v>46184.930104166699</v>
      </c>
      <c r="C21" s="3">
        <v>46184.934050925898</v>
      </c>
      <c r="D21" s="3" t="s">
        <v>104</v>
      </c>
      <c r="E21" s="3"/>
      <c r="F21" s="11" t="s">
        <v>264</v>
      </c>
      <c r="G21" s="12">
        <f t="shared" si="28"/>
        <v>9</v>
      </c>
      <c r="H21" s="8" t="s">
        <v>246</v>
      </c>
      <c r="I21" s="9">
        <f t="shared" si="0"/>
        <v>0</v>
      </c>
      <c r="J21" s="8" t="s">
        <v>213</v>
      </c>
      <c r="K21" s="9">
        <f t="shared" si="1"/>
        <v>0</v>
      </c>
      <c r="L21" s="8" t="s">
        <v>109</v>
      </c>
      <c r="M21" s="9">
        <f t="shared" si="2"/>
        <v>1</v>
      </c>
      <c r="N21" s="8" t="s">
        <v>5</v>
      </c>
      <c r="O21" s="9">
        <f t="shared" si="3"/>
        <v>1</v>
      </c>
      <c r="P21" s="8" t="s">
        <v>109</v>
      </c>
      <c r="Q21" s="9">
        <f t="shared" si="4"/>
        <v>0</v>
      </c>
      <c r="R21" s="8" t="s">
        <v>8</v>
      </c>
      <c r="S21" s="9">
        <f t="shared" si="5"/>
        <v>1</v>
      </c>
      <c r="T21" s="8" t="s">
        <v>265</v>
      </c>
      <c r="U21" s="9">
        <f t="shared" si="6"/>
        <v>0</v>
      </c>
      <c r="V21" s="8" t="s">
        <v>173</v>
      </c>
      <c r="W21" s="9">
        <f t="shared" si="7"/>
        <v>1</v>
      </c>
      <c r="X21" s="8" t="s">
        <v>8</v>
      </c>
      <c r="Y21" s="9">
        <f t="shared" si="8"/>
        <v>0</v>
      </c>
      <c r="Z21" s="8" t="s">
        <v>8</v>
      </c>
      <c r="AA21" s="9">
        <f t="shared" si="9"/>
        <v>0</v>
      </c>
      <c r="AB21" s="8" t="s">
        <v>15</v>
      </c>
      <c r="AC21" s="9">
        <f t="shared" si="10"/>
        <v>0</v>
      </c>
      <c r="AD21" s="8" t="s">
        <v>15</v>
      </c>
      <c r="AE21" s="9">
        <f t="shared" si="11"/>
        <v>0</v>
      </c>
      <c r="AF21" s="8" t="s">
        <v>15</v>
      </c>
      <c r="AG21" s="9">
        <f t="shared" si="12"/>
        <v>1</v>
      </c>
      <c r="AH21" s="8" t="s">
        <v>16</v>
      </c>
      <c r="AI21" s="9">
        <f t="shared" si="13"/>
        <v>0</v>
      </c>
      <c r="AJ21" s="8" t="s">
        <v>172</v>
      </c>
      <c r="AK21" s="9">
        <f t="shared" si="14"/>
        <v>0</v>
      </c>
      <c r="AL21" s="8" t="s">
        <v>16</v>
      </c>
      <c r="AM21" s="9">
        <f t="shared" si="15"/>
        <v>0</v>
      </c>
      <c r="AN21" s="8" t="s">
        <v>112</v>
      </c>
      <c r="AO21" s="9"/>
      <c r="AP21" s="8" t="s">
        <v>125</v>
      </c>
      <c r="AQ21" s="9"/>
      <c r="AR21" s="8" t="s">
        <v>114</v>
      </c>
      <c r="AS21" s="9"/>
      <c r="AT21" s="8" t="s">
        <v>184</v>
      </c>
      <c r="AU21" s="9"/>
      <c r="AV21" s="8" t="s">
        <v>148</v>
      </c>
      <c r="AW21" s="9">
        <f t="shared" si="16"/>
        <v>1</v>
      </c>
      <c r="AX21" s="8" t="s">
        <v>117</v>
      </c>
      <c r="AY21" s="9"/>
      <c r="AZ21" s="8" t="s">
        <v>20</v>
      </c>
      <c r="BA21" s="9"/>
      <c r="BB21" s="8" t="s">
        <v>172</v>
      </c>
      <c r="BC21" s="9"/>
      <c r="BD21" s="8" t="s">
        <v>15</v>
      </c>
      <c r="BE21" s="9"/>
      <c r="BF21" s="8" t="s">
        <v>26</v>
      </c>
      <c r="BG21" s="9"/>
      <c r="BH21" s="8" t="s">
        <v>26</v>
      </c>
      <c r="BI21" s="9"/>
      <c r="BJ21" s="8" t="s">
        <v>20</v>
      </c>
      <c r="BK21" s="9"/>
      <c r="BL21" s="8" t="s">
        <v>26</v>
      </c>
      <c r="BM21" s="9">
        <f t="shared" si="17"/>
        <v>0</v>
      </c>
      <c r="BN21" s="8" t="s">
        <v>149</v>
      </c>
      <c r="BO21" s="9"/>
      <c r="BP21" s="8" t="s">
        <v>109</v>
      </c>
      <c r="BQ21" s="9"/>
      <c r="BR21" s="8" t="s">
        <v>151</v>
      </c>
      <c r="BS21" s="9"/>
      <c r="BT21" s="8" t="s">
        <v>152</v>
      </c>
      <c r="BU21" s="9"/>
      <c r="BV21" s="8" t="s">
        <v>109</v>
      </c>
      <c r="BW21" s="9"/>
      <c r="BX21" s="8" t="s">
        <v>124</v>
      </c>
      <c r="BY21" s="9"/>
      <c r="BZ21" s="8" t="s">
        <v>125</v>
      </c>
      <c r="CA21" s="9"/>
      <c r="CB21" s="8" t="s">
        <v>24</v>
      </c>
      <c r="CC21" s="9"/>
      <c r="CD21" s="8" t="s">
        <v>125</v>
      </c>
      <c r="CE21" s="9"/>
      <c r="CF21" s="8" t="s">
        <v>126</v>
      </c>
      <c r="CG21" s="9"/>
      <c r="CH21" s="8" t="s">
        <v>20</v>
      </c>
      <c r="CI21" s="9"/>
      <c r="CJ21" s="8" t="s">
        <v>218</v>
      </c>
      <c r="CK21" s="9"/>
      <c r="CL21" s="8" t="s">
        <v>176</v>
      </c>
      <c r="CM21" s="9"/>
      <c r="CN21" s="8" t="s">
        <v>227</v>
      </c>
      <c r="CO21" s="9"/>
      <c r="CP21" s="8" t="s">
        <v>207</v>
      </c>
      <c r="CQ21" s="9"/>
      <c r="CR21" s="8" t="s">
        <v>8</v>
      </c>
      <c r="CS21" s="9"/>
      <c r="CT21" s="8" t="s">
        <v>202</v>
      </c>
      <c r="CU21" s="9">
        <f t="shared" si="18"/>
        <v>0</v>
      </c>
      <c r="CV21" s="8"/>
      <c r="CW21" s="9"/>
      <c r="CX21" s="8" t="s">
        <v>152</v>
      </c>
      <c r="CY21" s="9"/>
      <c r="CZ21" s="8" t="s">
        <v>133</v>
      </c>
      <c r="DA21" s="9">
        <f t="shared" si="19"/>
        <v>0</v>
      </c>
      <c r="DB21" s="8" t="s">
        <v>177</v>
      </c>
      <c r="DC21" s="9"/>
      <c r="DD21" s="8" t="s">
        <v>23</v>
      </c>
      <c r="DE21" s="9">
        <f t="shared" si="20"/>
        <v>1</v>
      </c>
      <c r="DF21" s="8" t="s">
        <v>134</v>
      </c>
      <c r="DG21" s="9">
        <f t="shared" si="21"/>
        <v>0</v>
      </c>
      <c r="DH21" s="8" t="s">
        <v>24</v>
      </c>
      <c r="DI21" s="9">
        <f t="shared" si="22"/>
        <v>1</v>
      </c>
      <c r="DJ21" s="8" t="s">
        <v>266</v>
      </c>
      <c r="DK21" s="9"/>
      <c r="DL21" s="8" t="s">
        <v>163</v>
      </c>
      <c r="DM21" s="9">
        <f t="shared" si="23"/>
        <v>0</v>
      </c>
      <c r="DN21" s="8" t="s">
        <v>20</v>
      </c>
      <c r="DO21" s="9"/>
      <c r="DP21" s="8" t="s">
        <v>20</v>
      </c>
      <c r="DQ21" s="9">
        <f t="shared" si="24"/>
        <v>0</v>
      </c>
      <c r="DR21" s="8" t="s">
        <v>27</v>
      </c>
      <c r="DS21" s="9">
        <f t="shared" si="25"/>
        <v>1</v>
      </c>
      <c r="DT21" s="8" t="s">
        <v>138</v>
      </c>
      <c r="DU21" s="9"/>
      <c r="DV21" s="8" t="s">
        <v>16</v>
      </c>
      <c r="DW21" s="9"/>
      <c r="DX21" s="8" t="s">
        <v>26</v>
      </c>
      <c r="DY21" s="9">
        <v>0</v>
      </c>
      <c r="DZ21" s="8" t="s">
        <v>16</v>
      </c>
      <c r="EA21" s="9"/>
      <c r="EB21" s="8" t="s">
        <v>20</v>
      </c>
      <c r="EC21" s="9"/>
      <c r="ED21" s="8" t="s">
        <v>165</v>
      </c>
      <c r="EE21" s="9">
        <f t="shared" si="26"/>
        <v>0</v>
      </c>
      <c r="EF21" s="8" t="s">
        <v>8</v>
      </c>
      <c r="EG21" s="9">
        <f t="shared" si="27"/>
        <v>0</v>
      </c>
      <c r="EH21" s="8" t="s">
        <v>178</v>
      </c>
      <c r="EI21" s="9"/>
    </row>
  </sheetData>
  <conditionalFormatting sqref="G3:G21">
    <cfRule type="dataBar" priority="57">
      <dataBar>
        <cfvo type="min"/>
        <cfvo type="max"/>
        <color rgb="FF0F766E"/>
      </dataBar>
    </cfRule>
    <cfRule type="dataBar" priority="58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{07F88F4C-E52F-0011-2BBC-6F53D82E1535}</x14:id>
        </ext>
      </extLst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F88F4C-E52F-0011-2BBC-6F53D82E1535}">
            <x14:dataBar>
              <x14:cfvo type="min"/>
              <x14:cfvo type="max"/>
              <x14:negativeFillColor auto="1"/>
              <x14:axisColor auto="1"/>
            </x14:dataBar>
          </x14:cfRule>
          <xm:sqref>G3:G21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21"/>
  <sheetViews>
    <sheetView workbookViewId="0"/>
  </sheetViews>
  <sheetFormatPr baseColWidth="10" defaultColWidth="9" defaultRowHeight="14.25"/>
  <cols>
    <col min="1" max="72" width="18" customWidth="1"/>
  </cols>
  <sheetData>
    <row r="1" spans="1:72" ht="30">
      <c r="A1" s="2" t="s">
        <v>0</v>
      </c>
      <c r="B1" s="2"/>
      <c r="C1" s="2"/>
      <c r="D1" s="2"/>
      <c r="E1" s="2"/>
      <c r="F1" s="2"/>
      <c r="G1" s="2">
        <v>7</v>
      </c>
      <c r="H1" s="2">
        <v>16</v>
      </c>
      <c r="I1" s="2" t="s">
        <v>3</v>
      </c>
      <c r="J1" s="2" t="s">
        <v>5</v>
      </c>
      <c r="K1" s="2" t="s">
        <v>6</v>
      </c>
      <c r="L1" s="2">
        <v>2</v>
      </c>
      <c r="M1" s="2">
        <v>6</v>
      </c>
      <c r="N1" s="2">
        <v>215</v>
      </c>
      <c r="O1" s="2" t="s">
        <v>11</v>
      </c>
      <c r="P1" s="2">
        <v>12</v>
      </c>
      <c r="Q1" s="2">
        <v>4</v>
      </c>
      <c r="R1" s="2">
        <v>4</v>
      </c>
      <c r="S1" s="2">
        <v>3</v>
      </c>
      <c r="T1" s="2">
        <v>3</v>
      </c>
      <c r="U1" s="2">
        <v>1</v>
      </c>
      <c r="V1" s="2">
        <v>2</v>
      </c>
      <c r="W1" s="2"/>
      <c r="X1" s="2"/>
      <c r="Y1" s="2"/>
      <c r="Z1" s="2"/>
      <c r="AA1" s="2" t="s">
        <v>18</v>
      </c>
      <c r="AB1" s="2"/>
      <c r="AC1" s="2"/>
      <c r="AD1" s="2"/>
      <c r="AE1" s="2"/>
      <c r="AF1" s="2"/>
      <c r="AG1" s="2"/>
      <c r="AH1" s="2"/>
      <c r="AI1" s="2" t="s">
        <v>20</v>
      </c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 t="s">
        <v>21</v>
      </c>
      <c r="BA1" s="2"/>
      <c r="BB1" s="2"/>
      <c r="BC1" s="2" t="s">
        <v>22</v>
      </c>
      <c r="BD1" s="2"/>
      <c r="BE1" s="2" t="s">
        <v>23</v>
      </c>
      <c r="BF1" s="2" t="s">
        <v>23</v>
      </c>
      <c r="BG1" s="2" t="s">
        <v>24</v>
      </c>
      <c r="BH1" s="2"/>
      <c r="BI1" s="2" t="s">
        <v>25</v>
      </c>
      <c r="BJ1" s="2"/>
      <c r="BK1" s="2" t="s">
        <v>26</v>
      </c>
      <c r="BL1" s="2" t="s">
        <v>27</v>
      </c>
      <c r="BM1" s="2"/>
      <c r="BN1" s="2"/>
      <c r="BO1" s="2"/>
      <c r="BP1" s="2"/>
      <c r="BQ1" s="2"/>
      <c r="BR1" s="2" t="s">
        <v>28</v>
      </c>
      <c r="BS1" s="2" t="s">
        <v>29</v>
      </c>
      <c r="BT1" s="2"/>
    </row>
    <row r="2" spans="1:72" ht="10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37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  <c r="AG2" s="2" t="s">
        <v>64</v>
      </c>
      <c r="AH2" s="2" t="s">
        <v>65</v>
      </c>
      <c r="AI2" s="2" t="s">
        <v>66</v>
      </c>
      <c r="AJ2" s="2" t="s">
        <v>67</v>
      </c>
      <c r="AK2" s="2" t="s">
        <v>68</v>
      </c>
      <c r="AL2" s="2" t="s">
        <v>69</v>
      </c>
      <c r="AM2" s="2" t="s">
        <v>70</v>
      </c>
      <c r="AN2" s="2" t="s">
        <v>71</v>
      </c>
      <c r="AO2" s="2" t="s">
        <v>72</v>
      </c>
      <c r="AP2" s="2" t="s">
        <v>73</v>
      </c>
      <c r="AQ2" s="2" t="s">
        <v>74</v>
      </c>
      <c r="AR2" s="2" t="s">
        <v>75</v>
      </c>
      <c r="AS2" s="2" t="s">
        <v>76</v>
      </c>
      <c r="AT2" s="2" t="s">
        <v>77</v>
      </c>
      <c r="AU2" s="2" t="s">
        <v>78</v>
      </c>
      <c r="AV2" s="2" t="s">
        <v>79</v>
      </c>
      <c r="AW2" s="2" t="s">
        <v>80</v>
      </c>
      <c r="AX2" s="2" t="s">
        <v>81</v>
      </c>
      <c r="AY2" s="2" t="s">
        <v>82</v>
      </c>
      <c r="AZ2" s="2" t="s">
        <v>83</v>
      </c>
      <c r="BA2" s="2" t="s">
        <v>84</v>
      </c>
      <c r="BB2" s="2" t="s">
        <v>85</v>
      </c>
      <c r="BC2" s="2" t="s">
        <v>86</v>
      </c>
      <c r="BD2" s="2" t="s">
        <v>87</v>
      </c>
      <c r="BE2" s="2" t="s">
        <v>88</v>
      </c>
      <c r="BF2" s="2" t="s">
        <v>89</v>
      </c>
      <c r="BG2" s="2" t="s">
        <v>90</v>
      </c>
      <c r="BH2" s="2" t="s">
        <v>91</v>
      </c>
      <c r="BI2" s="2" t="s">
        <v>92</v>
      </c>
      <c r="BJ2" s="2" t="s">
        <v>93</v>
      </c>
      <c r="BK2" s="2" t="s">
        <v>94</v>
      </c>
      <c r="BL2" s="2" t="s">
        <v>95</v>
      </c>
      <c r="BM2" s="2" t="s">
        <v>96</v>
      </c>
      <c r="BN2" s="2" t="s">
        <v>97</v>
      </c>
      <c r="BO2" s="2" t="s">
        <v>98</v>
      </c>
      <c r="BP2" s="2" t="s">
        <v>99</v>
      </c>
      <c r="BQ2" s="2" t="s">
        <v>100</v>
      </c>
      <c r="BR2" s="2" t="s">
        <v>101</v>
      </c>
      <c r="BS2" s="2" t="s">
        <v>102</v>
      </c>
      <c r="BT2" s="2" t="s">
        <v>103</v>
      </c>
    </row>
    <row r="3" spans="1:72">
      <c r="A3" s="3">
        <v>1</v>
      </c>
      <c r="B3" s="3">
        <v>46183.286099537036</v>
      </c>
      <c r="C3" s="3">
        <v>46183.298611111109</v>
      </c>
      <c r="D3" s="3" t="s">
        <v>104</v>
      </c>
      <c r="E3" s="3"/>
      <c r="F3" s="3" t="s">
        <v>105</v>
      </c>
      <c r="G3" s="3" t="s">
        <v>106</v>
      </c>
      <c r="H3" s="3" t="s">
        <v>107</v>
      </c>
      <c r="I3" s="3" t="s">
        <v>108</v>
      </c>
      <c r="J3" s="3" t="s">
        <v>3</v>
      </c>
      <c r="K3" s="3" t="s">
        <v>109</v>
      </c>
      <c r="L3" s="3" t="s">
        <v>8</v>
      </c>
      <c r="M3" s="3" t="s">
        <v>9</v>
      </c>
      <c r="N3" s="3" t="s">
        <v>110</v>
      </c>
      <c r="O3" s="3" t="s">
        <v>8</v>
      </c>
      <c r="P3" s="3" t="s">
        <v>111</v>
      </c>
      <c r="Q3" s="3" t="s">
        <v>16</v>
      </c>
      <c r="R3" s="3" t="s">
        <v>14</v>
      </c>
      <c r="S3" s="3" t="s">
        <v>15</v>
      </c>
      <c r="T3" s="3" t="s">
        <v>16</v>
      </c>
      <c r="U3" s="3" t="s">
        <v>16</v>
      </c>
      <c r="V3" s="3" t="s">
        <v>16</v>
      </c>
      <c r="W3" s="3" t="s">
        <v>112</v>
      </c>
      <c r="X3" s="3" t="s">
        <v>113</v>
      </c>
      <c r="Y3" s="3" t="s">
        <v>114</v>
      </c>
      <c r="Z3" s="3" t="s">
        <v>115</v>
      </c>
      <c r="AA3" s="3" t="s">
        <v>116</v>
      </c>
      <c r="AB3" s="3" t="s">
        <v>117</v>
      </c>
      <c r="AC3" s="3" t="s">
        <v>26</v>
      </c>
      <c r="AD3" s="3" t="s">
        <v>14</v>
      </c>
      <c r="AE3" s="3" t="s">
        <v>118</v>
      </c>
      <c r="AF3" s="3" t="s">
        <v>26</v>
      </c>
      <c r="AG3" s="3" t="s">
        <v>26</v>
      </c>
      <c r="AH3" s="3" t="s">
        <v>26</v>
      </c>
      <c r="AI3" s="3" t="s">
        <v>26</v>
      </c>
      <c r="AJ3" s="3" t="s">
        <v>119</v>
      </c>
      <c r="AK3" s="3" t="s">
        <v>120</v>
      </c>
      <c r="AL3" s="3" t="s">
        <v>121</v>
      </c>
      <c r="AM3" s="3" t="s">
        <v>122</v>
      </c>
      <c r="AN3" s="3" t="s">
        <v>123</v>
      </c>
      <c r="AO3" s="3" t="s">
        <v>124</v>
      </c>
      <c r="AP3" s="3" t="s">
        <v>125</v>
      </c>
      <c r="AQ3" s="3" t="s">
        <v>113</v>
      </c>
      <c r="AR3" s="3" t="s">
        <v>113</v>
      </c>
      <c r="AS3" s="3" t="s">
        <v>126</v>
      </c>
      <c r="AT3" s="3" t="s">
        <v>26</v>
      </c>
      <c r="AU3" s="3" t="s">
        <v>1</v>
      </c>
      <c r="AV3" s="3" t="s">
        <v>127</v>
      </c>
      <c r="AW3" s="3" t="s">
        <v>128</v>
      </c>
      <c r="AX3" s="3" t="s">
        <v>129</v>
      </c>
      <c r="AY3" s="3" t="s">
        <v>130</v>
      </c>
      <c r="AZ3" s="3" t="s">
        <v>131</v>
      </c>
      <c r="BA3" s="3" t="s">
        <v>132</v>
      </c>
      <c r="BB3" s="3" t="s">
        <v>122</v>
      </c>
      <c r="BC3" s="3" t="s">
        <v>22</v>
      </c>
      <c r="BD3" s="3" t="s">
        <v>133</v>
      </c>
      <c r="BE3" s="3" t="s">
        <v>23</v>
      </c>
      <c r="BF3" s="3" t="s">
        <v>23</v>
      </c>
      <c r="BG3" s="3" t="s">
        <v>134</v>
      </c>
      <c r="BH3" s="3" t="s">
        <v>135</v>
      </c>
      <c r="BI3" s="3" t="s">
        <v>136</v>
      </c>
      <c r="BJ3" s="3" t="s">
        <v>26</v>
      </c>
      <c r="BK3" s="3" t="s">
        <v>20</v>
      </c>
      <c r="BL3" s="3" t="s">
        <v>137</v>
      </c>
      <c r="BM3" s="3" t="s">
        <v>138</v>
      </c>
      <c r="BN3" s="3" t="s">
        <v>8</v>
      </c>
      <c r="BO3" s="3" t="s">
        <v>20</v>
      </c>
      <c r="BP3" s="3" t="s">
        <v>8</v>
      </c>
      <c r="BQ3" s="3" t="s">
        <v>20</v>
      </c>
      <c r="BR3" s="3" t="s">
        <v>28</v>
      </c>
      <c r="BS3" s="3" t="s">
        <v>14</v>
      </c>
      <c r="BT3" s="3" t="s">
        <v>139</v>
      </c>
    </row>
    <row r="4" spans="1:72">
      <c r="A4" s="3">
        <v>2</v>
      </c>
      <c r="B4" s="3">
        <v>46183.438576388886</v>
      </c>
      <c r="C4" s="3">
        <v>46183.449004629627</v>
      </c>
      <c r="D4" s="3" t="s">
        <v>104</v>
      </c>
      <c r="E4" s="3"/>
      <c r="F4" s="3" t="s">
        <v>140</v>
      </c>
      <c r="G4" s="3" t="s">
        <v>141</v>
      </c>
      <c r="H4" s="3" t="s">
        <v>142</v>
      </c>
      <c r="I4" s="3" t="s">
        <v>143</v>
      </c>
      <c r="J4" s="3" t="s">
        <v>108</v>
      </c>
      <c r="K4" s="3" t="s">
        <v>144</v>
      </c>
      <c r="L4" s="3" t="s">
        <v>8</v>
      </c>
      <c r="M4" s="3" t="s">
        <v>145</v>
      </c>
      <c r="N4" s="3" t="s">
        <v>110</v>
      </c>
      <c r="O4" s="3" t="s">
        <v>8</v>
      </c>
      <c r="P4" s="3" t="s">
        <v>8</v>
      </c>
      <c r="Q4" s="3" t="s">
        <v>8</v>
      </c>
      <c r="R4" s="3" t="s">
        <v>8</v>
      </c>
      <c r="S4" s="3" t="s">
        <v>8</v>
      </c>
      <c r="T4" s="3" t="s">
        <v>8</v>
      </c>
      <c r="U4" s="3" t="s">
        <v>16</v>
      </c>
      <c r="V4" s="3" t="s">
        <v>8</v>
      </c>
      <c r="W4" s="3" t="s">
        <v>146</v>
      </c>
      <c r="X4" s="3" t="s">
        <v>23</v>
      </c>
      <c r="Y4" s="3" t="s">
        <v>147</v>
      </c>
      <c r="Z4" s="3" t="s">
        <v>115</v>
      </c>
      <c r="AA4" s="3" t="s">
        <v>148</v>
      </c>
      <c r="AB4" s="3" t="s">
        <v>145</v>
      </c>
      <c r="AC4" s="3" t="s">
        <v>26</v>
      </c>
      <c r="AD4" s="3" t="s">
        <v>8</v>
      </c>
      <c r="AE4" s="3" t="s">
        <v>14</v>
      </c>
      <c r="AF4" s="3" t="s">
        <v>26</v>
      </c>
      <c r="AG4" s="3" t="s">
        <v>26</v>
      </c>
      <c r="AH4" s="3" t="s">
        <v>20</v>
      </c>
      <c r="AI4" s="3" t="s">
        <v>20</v>
      </c>
      <c r="AJ4" s="3" t="s">
        <v>149</v>
      </c>
      <c r="AK4" s="3" t="s">
        <v>150</v>
      </c>
      <c r="AL4" s="3" t="s">
        <v>151</v>
      </c>
      <c r="AM4" s="3" t="s">
        <v>152</v>
      </c>
      <c r="AN4" s="3" t="s">
        <v>153</v>
      </c>
      <c r="AO4" s="3" t="s">
        <v>154</v>
      </c>
      <c r="AP4" s="3" t="s">
        <v>24</v>
      </c>
      <c r="AQ4" s="3" t="s">
        <v>115</v>
      </c>
      <c r="AR4" s="3" t="s">
        <v>115</v>
      </c>
      <c r="AS4" s="3" t="s">
        <v>126</v>
      </c>
      <c r="AT4" s="3" t="s">
        <v>26</v>
      </c>
      <c r="AU4" s="3" t="s">
        <v>155</v>
      </c>
      <c r="AV4" s="3" t="s">
        <v>127</v>
      </c>
      <c r="AW4" s="3" t="s">
        <v>156</v>
      </c>
      <c r="AX4" s="3" t="s">
        <v>157</v>
      </c>
      <c r="AY4" s="3" t="s">
        <v>14</v>
      </c>
      <c r="AZ4" s="3" t="s">
        <v>158</v>
      </c>
      <c r="BA4" s="3" t="s">
        <v>159</v>
      </c>
      <c r="BB4" s="3" t="s">
        <v>160</v>
      </c>
      <c r="BC4" s="3" t="s">
        <v>161</v>
      </c>
      <c r="BD4" s="3" t="s">
        <v>133</v>
      </c>
      <c r="BE4" s="3" t="s">
        <v>23</v>
      </c>
      <c r="BF4" s="3" t="s">
        <v>23</v>
      </c>
      <c r="BG4" s="3" t="s">
        <v>134</v>
      </c>
      <c r="BH4" s="3" t="s">
        <v>162</v>
      </c>
      <c r="BI4" s="3" t="s">
        <v>163</v>
      </c>
      <c r="BJ4" s="3" t="s">
        <v>20</v>
      </c>
      <c r="BK4" s="3" t="s">
        <v>20</v>
      </c>
      <c r="BL4" s="3" t="s">
        <v>164</v>
      </c>
      <c r="BM4" s="3" t="s">
        <v>162</v>
      </c>
      <c r="BN4" s="3" t="s">
        <v>8</v>
      </c>
      <c r="BO4" s="3" t="s">
        <v>26</v>
      </c>
      <c r="BP4" s="3" t="s">
        <v>8</v>
      </c>
      <c r="BQ4" s="3" t="s">
        <v>26</v>
      </c>
      <c r="BR4" s="3" t="s">
        <v>165</v>
      </c>
      <c r="BS4" s="3" t="s">
        <v>15</v>
      </c>
      <c r="BT4" s="3" t="s">
        <v>166</v>
      </c>
    </row>
    <row r="5" spans="1:72">
      <c r="A5" s="3">
        <v>3</v>
      </c>
      <c r="B5" s="3">
        <v>46183.439398148148</v>
      </c>
      <c r="C5" s="3">
        <v>46183.449652777781</v>
      </c>
      <c r="D5" s="3" t="s">
        <v>104</v>
      </c>
      <c r="E5" s="3"/>
      <c r="F5" s="3" t="s">
        <v>167</v>
      </c>
      <c r="G5" s="3" t="s">
        <v>106</v>
      </c>
      <c r="H5" s="3" t="s">
        <v>107</v>
      </c>
      <c r="I5" s="3" t="s">
        <v>168</v>
      </c>
      <c r="J5" s="3" t="s">
        <v>169</v>
      </c>
      <c r="K5" s="3" t="s">
        <v>170</v>
      </c>
      <c r="L5" s="3" t="s">
        <v>8</v>
      </c>
      <c r="M5" s="3" t="s">
        <v>9</v>
      </c>
      <c r="N5" s="3" t="s">
        <v>171</v>
      </c>
      <c r="O5" s="3" t="s">
        <v>15</v>
      </c>
      <c r="P5" s="3" t="s">
        <v>111</v>
      </c>
      <c r="Q5" s="3" t="s">
        <v>8</v>
      </c>
      <c r="R5" s="3" t="s">
        <v>8</v>
      </c>
      <c r="S5" s="3" t="s">
        <v>15</v>
      </c>
      <c r="T5" s="3" t="s">
        <v>16</v>
      </c>
      <c r="U5" s="3" t="s">
        <v>8</v>
      </c>
      <c r="V5" s="3" t="s">
        <v>172</v>
      </c>
      <c r="W5" s="3" t="s">
        <v>112</v>
      </c>
      <c r="X5" s="3" t="s">
        <v>125</v>
      </c>
      <c r="Y5" s="3" t="s">
        <v>147</v>
      </c>
      <c r="Z5" s="3" t="s">
        <v>115</v>
      </c>
      <c r="AA5" s="3" t="s">
        <v>148</v>
      </c>
      <c r="AB5" s="3" t="s">
        <v>14</v>
      </c>
      <c r="AC5" s="3" t="s">
        <v>26</v>
      </c>
      <c r="AD5" s="3" t="s">
        <v>15</v>
      </c>
      <c r="AE5" s="3" t="s">
        <v>14</v>
      </c>
      <c r="AF5" s="3" t="s">
        <v>26</v>
      </c>
      <c r="AG5" s="3" t="s">
        <v>26</v>
      </c>
      <c r="AH5" s="3" t="s">
        <v>20</v>
      </c>
      <c r="AI5" s="3" t="s">
        <v>26</v>
      </c>
      <c r="AJ5" s="3" t="s">
        <v>149</v>
      </c>
      <c r="AK5" s="3" t="s">
        <v>109</v>
      </c>
      <c r="AL5" s="3" t="s">
        <v>121</v>
      </c>
      <c r="AM5" s="3" t="s">
        <v>152</v>
      </c>
      <c r="AN5" s="3" t="s">
        <v>109</v>
      </c>
      <c r="AO5" s="3" t="s">
        <v>173</v>
      </c>
      <c r="AP5" s="3" t="s">
        <v>24</v>
      </c>
      <c r="AQ5" s="3" t="s">
        <v>174</v>
      </c>
      <c r="AR5" s="3" t="s">
        <v>24</v>
      </c>
      <c r="AS5" s="3" t="s">
        <v>126</v>
      </c>
      <c r="AT5" s="3" t="s">
        <v>26</v>
      </c>
      <c r="AU5" s="3" t="s">
        <v>175</v>
      </c>
      <c r="AV5" s="3" t="s">
        <v>176</v>
      </c>
      <c r="AW5" s="3" t="s">
        <v>156</v>
      </c>
      <c r="AX5" s="3" t="s">
        <v>157</v>
      </c>
      <c r="AY5" s="3" t="s">
        <v>130</v>
      </c>
      <c r="AZ5" s="3" t="s">
        <v>158</v>
      </c>
      <c r="BA5" s="3" t="s">
        <v>159</v>
      </c>
      <c r="BB5" s="3" t="s">
        <v>152</v>
      </c>
      <c r="BC5" s="3" t="s">
        <v>133</v>
      </c>
      <c r="BD5" s="3" t="s">
        <v>177</v>
      </c>
      <c r="BE5" s="3" t="s">
        <v>23</v>
      </c>
      <c r="BF5" s="3" t="s">
        <v>23</v>
      </c>
      <c r="BG5" s="3" t="s">
        <v>24</v>
      </c>
      <c r="BH5" s="3" t="s">
        <v>178</v>
      </c>
      <c r="BI5" s="3" t="s">
        <v>179</v>
      </c>
      <c r="BJ5" s="3" t="s">
        <v>20</v>
      </c>
      <c r="BK5" s="3" t="s">
        <v>26</v>
      </c>
      <c r="BL5" s="3" t="s">
        <v>164</v>
      </c>
      <c r="BM5" s="3" t="s">
        <v>138</v>
      </c>
      <c r="BN5" s="3" t="s">
        <v>111</v>
      </c>
      <c r="BO5" s="3" t="s">
        <v>26</v>
      </c>
      <c r="BP5" s="3" t="s">
        <v>8</v>
      </c>
      <c r="BQ5" s="3" t="s">
        <v>20</v>
      </c>
      <c r="BR5" s="3" t="s">
        <v>28</v>
      </c>
      <c r="BS5" s="3" t="s">
        <v>8</v>
      </c>
      <c r="BT5" s="3" t="s">
        <v>180</v>
      </c>
    </row>
    <row r="6" spans="1:72">
      <c r="A6" s="3">
        <v>4</v>
      </c>
      <c r="B6" s="3">
        <v>46183.435682870368</v>
      </c>
      <c r="C6" s="3">
        <v>46183.459826388891</v>
      </c>
      <c r="D6" s="3" t="s">
        <v>104</v>
      </c>
      <c r="E6" s="3"/>
      <c r="F6" s="3" t="s">
        <v>181</v>
      </c>
      <c r="G6" s="3" t="s">
        <v>106</v>
      </c>
      <c r="H6" s="3" t="s">
        <v>142</v>
      </c>
      <c r="I6" s="3" t="s">
        <v>182</v>
      </c>
      <c r="J6" s="3" t="s">
        <v>5</v>
      </c>
      <c r="K6" s="3" t="s">
        <v>170</v>
      </c>
      <c r="L6" s="3" t="s">
        <v>8</v>
      </c>
      <c r="M6" s="3" t="s">
        <v>145</v>
      </c>
      <c r="N6" s="3" t="s">
        <v>171</v>
      </c>
      <c r="O6" s="3" t="s">
        <v>16</v>
      </c>
      <c r="P6" s="3" t="s">
        <v>111</v>
      </c>
      <c r="Q6" s="3" t="s">
        <v>8</v>
      </c>
      <c r="R6" s="3" t="s">
        <v>14</v>
      </c>
      <c r="S6" s="3" t="s">
        <v>15</v>
      </c>
      <c r="T6" s="3" t="s">
        <v>8</v>
      </c>
      <c r="U6" s="3" t="s">
        <v>172</v>
      </c>
      <c r="V6" s="3" t="s">
        <v>16</v>
      </c>
      <c r="W6" s="3" t="s">
        <v>112</v>
      </c>
      <c r="X6" s="3" t="s">
        <v>125</v>
      </c>
      <c r="Y6" s="3" t="s">
        <v>183</v>
      </c>
      <c r="Z6" s="3" t="s">
        <v>184</v>
      </c>
      <c r="AA6" s="3" t="s">
        <v>148</v>
      </c>
      <c r="AB6" s="3" t="s">
        <v>14</v>
      </c>
      <c r="AC6" s="3" t="s">
        <v>26</v>
      </c>
      <c r="AD6" s="3" t="s">
        <v>15</v>
      </c>
      <c r="AE6" s="3" t="s">
        <v>118</v>
      </c>
      <c r="AF6" s="3" t="s">
        <v>26</v>
      </c>
      <c r="AG6" s="3" t="s">
        <v>26</v>
      </c>
      <c r="AH6" s="3" t="s">
        <v>26</v>
      </c>
      <c r="AI6" s="3" t="s">
        <v>26</v>
      </c>
      <c r="AJ6" s="3" t="s">
        <v>109</v>
      </c>
      <c r="AK6" s="3" t="s">
        <v>109</v>
      </c>
      <c r="AL6" s="3" t="s">
        <v>109</v>
      </c>
      <c r="AM6" s="3" t="s">
        <v>122</v>
      </c>
      <c r="AN6" s="3" t="s">
        <v>109</v>
      </c>
      <c r="AO6" s="3" t="s">
        <v>124</v>
      </c>
      <c r="AP6" s="3" t="s">
        <v>184</v>
      </c>
      <c r="AQ6" s="3" t="s">
        <v>184</v>
      </c>
      <c r="AR6" s="3" t="s">
        <v>184</v>
      </c>
      <c r="AS6" s="3" t="s">
        <v>126</v>
      </c>
      <c r="AT6" s="3" t="s">
        <v>20</v>
      </c>
      <c r="AU6" s="3" t="s">
        <v>155</v>
      </c>
      <c r="AV6" s="3" t="s">
        <v>185</v>
      </c>
      <c r="AW6" s="3" t="s">
        <v>128</v>
      </c>
      <c r="AX6" s="3" t="s">
        <v>129</v>
      </c>
      <c r="AY6" s="3" t="s">
        <v>130</v>
      </c>
      <c r="AZ6" s="3" t="s">
        <v>21</v>
      </c>
      <c r="BA6" s="3" t="s">
        <v>132</v>
      </c>
      <c r="BB6" s="3" t="s">
        <v>186</v>
      </c>
      <c r="BC6" s="3" t="s">
        <v>22</v>
      </c>
      <c r="BD6" s="3" t="s">
        <v>161</v>
      </c>
      <c r="BE6" s="3" t="s">
        <v>23</v>
      </c>
      <c r="BF6" s="3" t="s">
        <v>134</v>
      </c>
      <c r="BG6" s="3" t="s">
        <v>24</v>
      </c>
      <c r="BH6" s="3" t="s">
        <v>187</v>
      </c>
      <c r="BI6" s="3" t="s">
        <v>188</v>
      </c>
      <c r="BJ6" s="3" t="s">
        <v>20</v>
      </c>
      <c r="BK6" s="3" t="s">
        <v>20</v>
      </c>
      <c r="BL6" s="3" t="s">
        <v>27</v>
      </c>
      <c r="BM6" s="3" t="s">
        <v>189</v>
      </c>
      <c r="BN6" s="3" t="s">
        <v>16</v>
      </c>
      <c r="BO6" s="3" t="s">
        <v>26</v>
      </c>
      <c r="BP6" s="3" t="s">
        <v>15</v>
      </c>
      <c r="BQ6" s="3" t="s">
        <v>20</v>
      </c>
      <c r="BR6" s="3" t="s">
        <v>28</v>
      </c>
      <c r="BS6" s="3" t="s">
        <v>29</v>
      </c>
      <c r="BT6" s="3" t="s">
        <v>190</v>
      </c>
    </row>
    <row r="7" spans="1:72">
      <c r="A7" s="3">
        <v>5</v>
      </c>
      <c r="B7" s="3">
        <v>46183.458668981482</v>
      </c>
      <c r="C7" s="3">
        <v>46183.485567129632</v>
      </c>
      <c r="D7" s="3" t="s">
        <v>104</v>
      </c>
      <c r="E7" s="3"/>
      <c r="F7" s="3" t="s">
        <v>191</v>
      </c>
      <c r="G7" s="3" t="s">
        <v>141</v>
      </c>
      <c r="H7" s="3" t="s">
        <v>142</v>
      </c>
      <c r="I7" s="3" t="s">
        <v>108</v>
      </c>
      <c r="J7" s="3" t="s">
        <v>3</v>
      </c>
      <c r="K7" s="3" t="s">
        <v>192</v>
      </c>
      <c r="L7" s="3" t="s">
        <v>8</v>
      </c>
      <c r="M7" s="3" t="s">
        <v>9</v>
      </c>
      <c r="N7" s="3" t="s">
        <v>171</v>
      </c>
      <c r="O7" s="3" t="s">
        <v>8</v>
      </c>
      <c r="P7" s="3" t="s">
        <v>8</v>
      </c>
      <c r="Q7" s="3" t="s">
        <v>16</v>
      </c>
      <c r="R7" s="3" t="s">
        <v>8</v>
      </c>
      <c r="S7" s="3" t="s">
        <v>15</v>
      </c>
      <c r="T7" s="3" t="s">
        <v>172</v>
      </c>
      <c r="U7" s="3" t="s">
        <v>172</v>
      </c>
      <c r="V7" s="3" t="s">
        <v>16</v>
      </c>
      <c r="W7" s="3" t="s">
        <v>112</v>
      </c>
      <c r="X7" s="3" t="s">
        <v>24</v>
      </c>
      <c r="Y7" s="3" t="s">
        <v>147</v>
      </c>
      <c r="Z7" s="3" t="s">
        <v>184</v>
      </c>
      <c r="AA7" s="3" t="s">
        <v>148</v>
      </c>
      <c r="AB7" s="3" t="s">
        <v>14</v>
      </c>
      <c r="AC7" s="3" t="s">
        <v>26</v>
      </c>
      <c r="AD7" s="3" t="s">
        <v>8</v>
      </c>
      <c r="AE7" s="3" t="s">
        <v>15</v>
      </c>
      <c r="AF7" s="3" t="s">
        <v>26</v>
      </c>
      <c r="AG7" s="3" t="s">
        <v>26</v>
      </c>
      <c r="AH7" s="3" t="s">
        <v>26</v>
      </c>
      <c r="AI7" s="3" t="s">
        <v>20</v>
      </c>
      <c r="AJ7" s="3" t="s">
        <v>109</v>
      </c>
      <c r="AK7" s="3" t="s">
        <v>150</v>
      </c>
      <c r="AL7" s="3" t="s">
        <v>151</v>
      </c>
      <c r="AM7" s="3" t="s">
        <v>160</v>
      </c>
      <c r="AN7" s="3" t="s">
        <v>193</v>
      </c>
      <c r="AO7" s="3" t="s">
        <v>124</v>
      </c>
      <c r="AP7" s="3" t="s">
        <v>24</v>
      </c>
      <c r="AQ7" s="3" t="s">
        <v>144</v>
      </c>
      <c r="AR7" s="3" t="s">
        <v>24</v>
      </c>
      <c r="AS7" s="3" t="s">
        <v>126</v>
      </c>
      <c r="AT7" s="3" t="s">
        <v>20</v>
      </c>
      <c r="AU7" s="3" t="s">
        <v>175</v>
      </c>
      <c r="AV7" s="3" t="s">
        <v>176</v>
      </c>
      <c r="AW7" s="3" t="s">
        <v>156</v>
      </c>
      <c r="AX7" s="3" t="s">
        <v>157</v>
      </c>
      <c r="AY7" s="3" t="s">
        <v>15</v>
      </c>
      <c r="AZ7" s="3" t="s">
        <v>158</v>
      </c>
      <c r="BA7" s="3" t="s">
        <v>159</v>
      </c>
      <c r="BB7" s="3" t="s">
        <v>152</v>
      </c>
      <c r="BC7" s="3" t="s">
        <v>161</v>
      </c>
      <c r="BD7" s="3" t="s">
        <v>133</v>
      </c>
      <c r="BE7" s="3" t="s">
        <v>23</v>
      </c>
      <c r="BF7" s="3" t="s">
        <v>23</v>
      </c>
      <c r="BG7" s="3" t="s">
        <v>24</v>
      </c>
      <c r="BH7" s="3" t="s">
        <v>194</v>
      </c>
      <c r="BI7" s="3" t="s">
        <v>163</v>
      </c>
      <c r="BJ7" s="3" t="s">
        <v>20</v>
      </c>
      <c r="BK7" s="3" t="s">
        <v>26</v>
      </c>
      <c r="BL7" s="3" t="s">
        <v>137</v>
      </c>
      <c r="BM7" s="3" t="s">
        <v>138</v>
      </c>
      <c r="BN7" s="3" t="s">
        <v>16</v>
      </c>
      <c r="BO7" s="3" t="s">
        <v>26</v>
      </c>
      <c r="BP7" s="3" t="s">
        <v>16</v>
      </c>
      <c r="BQ7" s="3" t="s">
        <v>20</v>
      </c>
      <c r="BR7" s="3" t="s">
        <v>28</v>
      </c>
      <c r="BS7" s="3" t="s">
        <v>15</v>
      </c>
      <c r="BT7" s="3" t="s">
        <v>195</v>
      </c>
    </row>
    <row r="8" spans="1:72">
      <c r="A8" s="3">
        <v>6</v>
      </c>
      <c r="B8" s="3">
        <v>46183.496180555558</v>
      </c>
      <c r="C8" s="3">
        <v>46183.502523148149</v>
      </c>
      <c r="D8" s="3" t="s">
        <v>104</v>
      </c>
      <c r="E8" s="3"/>
      <c r="F8" s="3" t="s">
        <v>196</v>
      </c>
      <c r="G8" s="3" t="s">
        <v>106</v>
      </c>
      <c r="H8" s="3" t="s">
        <v>142</v>
      </c>
      <c r="I8" s="3" t="s">
        <v>108</v>
      </c>
      <c r="J8" s="3" t="s">
        <v>3</v>
      </c>
      <c r="K8" s="3" t="s">
        <v>197</v>
      </c>
      <c r="L8" s="3" t="s">
        <v>8</v>
      </c>
      <c r="M8" s="3" t="s">
        <v>9</v>
      </c>
      <c r="N8" s="3" t="s">
        <v>171</v>
      </c>
      <c r="O8" s="3" t="s">
        <v>8</v>
      </c>
      <c r="P8" s="3" t="s">
        <v>8</v>
      </c>
      <c r="Q8" s="3" t="s">
        <v>16</v>
      </c>
      <c r="R8" s="3" t="s">
        <v>15</v>
      </c>
      <c r="S8" s="3" t="s">
        <v>14</v>
      </c>
      <c r="T8" s="3" t="s">
        <v>8</v>
      </c>
      <c r="U8" s="3" t="s">
        <v>16</v>
      </c>
      <c r="V8" s="3" t="s">
        <v>16</v>
      </c>
      <c r="W8" s="3" t="s">
        <v>198</v>
      </c>
      <c r="X8" s="3" t="s">
        <v>125</v>
      </c>
      <c r="Y8" s="3" t="s">
        <v>147</v>
      </c>
      <c r="Z8" s="3" t="s">
        <v>184</v>
      </c>
      <c r="AA8" s="3" t="s">
        <v>148</v>
      </c>
      <c r="AB8" s="3" t="s">
        <v>14</v>
      </c>
      <c r="AC8" s="3" t="s">
        <v>26</v>
      </c>
      <c r="AD8" s="3" t="s">
        <v>16</v>
      </c>
      <c r="AE8" s="3" t="s">
        <v>15</v>
      </c>
      <c r="AF8" s="3" t="s">
        <v>26</v>
      </c>
      <c r="AG8" s="3" t="s">
        <v>26</v>
      </c>
      <c r="AH8" s="3" t="s">
        <v>26</v>
      </c>
      <c r="AI8" s="3" t="s">
        <v>20</v>
      </c>
      <c r="AJ8" s="3" t="s">
        <v>199</v>
      </c>
      <c r="AK8" s="3" t="s">
        <v>199</v>
      </c>
      <c r="AL8" s="3" t="s">
        <v>121</v>
      </c>
      <c r="AM8" s="3" t="s">
        <v>152</v>
      </c>
      <c r="AN8" s="3" t="s">
        <v>200</v>
      </c>
      <c r="AO8" s="3" t="s">
        <v>173</v>
      </c>
      <c r="AP8" s="3" t="s">
        <v>24</v>
      </c>
      <c r="AQ8" s="3" t="s">
        <v>125</v>
      </c>
      <c r="AR8" s="3" t="s">
        <v>125</v>
      </c>
      <c r="AS8" s="3" t="s">
        <v>126</v>
      </c>
      <c r="AT8" s="3" t="s">
        <v>26</v>
      </c>
      <c r="AU8" s="3" t="s">
        <v>135</v>
      </c>
      <c r="AV8" s="3" t="s">
        <v>127</v>
      </c>
      <c r="AW8" s="3" t="s">
        <v>156</v>
      </c>
      <c r="AX8" s="3" t="s">
        <v>201</v>
      </c>
      <c r="AY8" s="3" t="s">
        <v>15</v>
      </c>
      <c r="AZ8" s="3" t="s">
        <v>202</v>
      </c>
      <c r="BA8" s="3" t="s">
        <v>159</v>
      </c>
      <c r="BB8" s="3" t="s">
        <v>152</v>
      </c>
      <c r="BC8" s="3" t="s">
        <v>22</v>
      </c>
      <c r="BD8" s="3" t="s">
        <v>177</v>
      </c>
      <c r="BE8" s="3" t="s">
        <v>23</v>
      </c>
      <c r="BF8" s="3" t="s">
        <v>23</v>
      </c>
      <c r="BG8" s="3" t="s">
        <v>24</v>
      </c>
      <c r="BH8" s="3" t="s">
        <v>162</v>
      </c>
      <c r="BI8" s="3" t="s">
        <v>179</v>
      </c>
      <c r="BJ8" s="3" t="s">
        <v>26</v>
      </c>
      <c r="BK8" s="3" t="s">
        <v>26</v>
      </c>
      <c r="BL8" s="3" t="s">
        <v>27</v>
      </c>
      <c r="BM8" s="3" t="s">
        <v>162</v>
      </c>
      <c r="BN8" s="3" t="s">
        <v>8</v>
      </c>
      <c r="BO8" s="3" t="s">
        <v>26</v>
      </c>
      <c r="BP8" s="3" t="s">
        <v>16</v>
      </c>
      <c r="BQ8" s="3" t="s">
        <v>20</v>
      </c>
      <c r="BR8" s="3" t="s">
        <v>28</v>
      </c>
      <c r="BS8" s="3" t="s">
        <v>14</v>
      </c>
      <c r="BT8" s="3" t="s">
        <v>203</v>
      </c>
    </row>
    <row r="9" spans="1:72">
      <c r="A9" s="3">
        <v>7</v>
      </c>
      <c r="B9" s="3">
        <v>46183.500613425924</v>
      </c>
      <c r="C9" s="3">
        <v>46183.507465277777</v>
      </c>
      <c r="D9" s="3" t="s">
        <v>104</v>
      </c>
      <c r="E9" s="3"/>
      <c r="F9" s="3" t="s">
        <v>204</v>
      </c>
      <c r="G9" s="3" t="s">
        <v>106</v>
      </c>
      <c r="H9" s="3" t="s">
        <v>142</v>
      </c>
      <c r="I9" s="3" t="s">
        <v>205</v>
      </c>
      <c r="J9" s="3" t="s">
        <v>206</v>
      </c>
      <c r="K9" s="3"/>
      <c r="L9" s="3" t="s">
        <v>8</v>
      </c>
      <c r="M9" s="3" t="s">
        <v>145</v>
      </c>
      <c r="N9" s="3" t="s">
        <v>110</v>
      </c>
      <c r="O9" s="3" t="s">
        <v>15</v>
      </c>
      <c r="P9" s="3" t="s">
        <v>111</v>
      </c>
      <c r="Q9" s="3" t="s">
        <v>16</v>
      </c>
      <c r="R9" s="3" t="s">
        <v>8</v>
      </c>
      <c r="S9" s="3" t="s">
        <v>8</v>
      </c>
      <c r="T9" s="3" t="s">
        <v>16</v>
      </c>
      <c r="U9" s="3" t="s">
        <v>172</v>
      </c>
      <c r="V9" s="3" t="s">
        <v>172</v>
      </c>
      <c r="W9" s="3" t="s">
        <v>112</v>
      </c>
      <c r="X9" s="3" t="s">
        <v>125</v>
      </c>
      <c r="Y9" s="3" t="s">
        <v>114</v>
      </c>
      <c r="Z9" s="3" t="s">
        <v>184</v>
      </c>
      <c r="AA9" s="3" t="s">
        <v>205</v>
      </c>
      <c r="AB9" s="3" t="s">
        <v>14</v>
      </c>
      <c r="AC9" s="3" t="s">
        <v>20</v>
      </c>
      <c r="AD9" s="3" t="s">
        <v>15</v>
      </c>
      <c r="AE9" s="3" t="s">
        <v>14</v>
      </c>
      <c r="AF9" s="3" t="s">
        <v>26</v>
      </c>
      <c r="AG9" s="3" t="s">
        <v>26</v>
      </c>
      <c r="AH9" s="3" t="s">
        <v>20</v>
      </c>
      <c r="AI9" s="3" t="s">
        <v>26</v>
      </c>
      <c r="AJ9" s="3" t="s">
        <v>199</v>
      </c>
      <c r="AK9" s="3" t="s">
        <v>149</v>
      </c>
      <c r="AL9" s="3" t="s">
        <v>121</v>
      </c>
      <c r="AM9" s="3" t="s">
        <v>152</v>
      </c>
      <c r="AN9" s="3" t="s">
        <v>123</v>
      </c>
      <c r="AO9" s="3" t="s">
        <v>173</v>
      </c>
      <c r="AP9" s="3" t="s">
        <v>125</v>
      </c>
      <c r="AQ9" s="3" t="s">
        <v>144</v>
      </c>
      <c r="AR9" s="3" t="s">
        <v>184</v>
      </c>
      <c r="AS9" s="3" t="s">
        <v>126</v>
      </c>
      <c r="AT9" s="3" t="s">
        <v>20</v>
      </c>
      <c r="AU9" s="3" t="s">
        <v>175</v>
      </c>
      <c r="AV9" s="3" t="s">
        <v>127</v>
      </c>
      <c r="AW9" s="3" t="s">
        <v>156</v>
      </c>
      <c r="AX9" s="3" t="s">
        <v>207</v>
      </c>
      <c r="AY9" s="3" t="s">
        <v>14</v>
      </c>
      <c r="AZ9" s="3" t="s">
        <v>158</v>
      </c>
      <c r="BA9" s="3" t="s">
        <v>159</v>
      </c>
      <c r="BB9" s="3" t="s">
        <v>152</v>
      </c>
      <c r="BC9" s="3" t="s">
        <v>161</v>
      </c>
      <c r="BD9" s="3" t="s">
        <v>177</v>
      </c>
      <c r="BE9" s="3" t="s">
        <v>23</v>
      </c>
      <c r="BF9" s="3" t="s">
        <v>114</v>
      </c>
      <c r="BG9" s="3" t="s">
        <v>24</v>
      </c>
      <c r="BH9" s="3" t="s">
        <v>208</v>
      </c>
      <c r="BI9" s="3" t="s">
        <v>209</v>
      </c>
      <c r="BJ9" s="3" t="s">
        <v>20</v>
      </c>
      <c r="BK9" s="3" t="s">
        <v>26</v>
      </c>
      <c r="BL9" s="3" t="s">
        <v>137</v>
      </c>
      <c r="BM9" s="3" t="s">
        <v>189</v>
      </c>
      <c r="BN9" s="3" t="s">
        <v>16</v>
      </c>
      <c r="BO9" s="3" t="s">
        <v>20</v>
      </c>
      <c r="BP9" s="3" t="s">
        <v>8</v>
      </c>
      <c r="BQ9" s="3" t="s">
        <v>20</v>
      </c>
      <c r="BR9" s="3" t="s">
        <v>210</v>
      </c>
      <c r="BS9" s="3" t="s">
        <v>14</v>
      </c>
      <c r="BT9" s="3" t="s">
        <v>211</v>
      </c>
    </row>
    <row r="10" spans="1:72" ht="28.5">
      <c r="A10" s="3">
        <v>8</v>
      </c>
      <c r="B10" s="3">
        <v>46183.649571759299</v>
      </c>
      <c r="C10" s="3">
        <v>46183.667430555601</v>
      </c>
      <c r="D10" s="3" t="s">
        <v>104</v>
      </c>
      <c r="E10" s="3"/>
      <c r="F10" s="3" t="s">
        <v>212</v>
      </c>
      <c r="G10" s="3" t="s">
        <v>135</v>
      </c>
      <c r="H10" s="3" t="s">
        <v>213</v>
      </c>
      <c r="I10" s="3" t="s">
        <v>205</v>
      </c>
      <c r="J10" s="3" t="s">
        <v>169</v>
      </c>
      <c r="K10" s="3" t="s">
        <v>109</v>
      </c>
      <c r="L10" s="3" t="s">
        <v>8</v>
      </c>
      <c r="M10" s="3" t="s">
        <v>14</v>
      </c>
      <c r="N10" s="3" t="s">
        <v>214</v>
      </c>
      <c r="O10" s="3" t="s">
        <v>15</v>
      </c>
      <c r="P10" s="3" t="s">
        <v>111</v>
      </c>
      <c r="Q10" s="3" t="s">
        <v>15</v>
      </c>
      <c r="R10" s="3" t="s">
        <v>14</v>
      </c>
      <c r="S10" s="3" t="s">
        <v>15</v>
      </c>
      <c r="T10" s="3" t="s">
        <v>16</v>
      </c>
      <c r="U10" s="3" t="s">
        <v>172</v>
      </c>
      <c r="V10" s="3" t="s">
        <v>172</v>
      </c>
      <c r="W10" s="3" t="s">
        <v>112</v>
      </c>
      <c r="X10" s="3" t="s">
        <v>24</v>
      </c>
      <c r="Y10" s="3" t="s">
        <v>114</v>
      </c>
      <c r="Z10" s="3" t="s">
        <v>115</v>
      </c>
      <c r="AA10" s="3" t="s">
        <v>148</v>
      </c>
      <c r="AB10" s="3" t="s">
        <v>14</v>
      </c>
      <c r="AC10" s="3" t="s">
        <v>26</v>
      </c>
      <c r="AD10" s="3" t="s">
        <v>15</v>
      </c>
      <c r="AE10" s="3" t="s">
        <v>14</v>
      </c>
      <c r="AF10" s="3" t="s">
        <v>26</v>
      </c>
      <c r="AG10" s="3" t="s">
        <v>26</v>
      </c>
      <c r="AH10" s="3" t="s">
        <v>20</v>
      </c>
      <c r="AI10" s="3" t="s">
        <v>26</v>
      </c>
      <c r="AJ10" s="3" t="s">
        <v>119</v>
      </c>
      <c r="AK10" s="3" t="s">
        <v>150</v>
      </c>
      <c r="AL10" s="3" t="s">
        <v>215</v>
      </c>
      <c r="AM10" s="3" t="s">
        <v>152</v>
      </c>
      <c r="AN10" s="3" t="s">
        <v>216</v>
      </c>
      <c r="AO10" s="3" t="s">
        <v>124</v>
      </c>
      <c r="AP10" s="3" t="s">
        <v>125</v>
      </c>
      <c r="AQ10" s="3" t="s">
        <v>125</v>
      </c>
      <c r="AR10" s="3" t="s">
        <v>24</v>
      </c>
      <c r="AS10" s="3" t="s">
        <v>217</v>
      </c>
      <c r="AT10" s="3" t="s">
        <v>20</v>
      </c>
      <c r="AU10" s="3" t="s">
        <v>218</v>
      </c>
      <c r="AV10" s="3" t="s">
        <v>219</v>
      </c>
      <c r="AW10" s="3" t="s">
        <v>156</v>
      </c>
      <c r="AX10" s="3" t="s">
        <v>129</v>
      </c>
      <c r="AY10" s="3" t="s">
        <v>130</v>
      </c>
      <c r="AZ10" s="3" t="s">
        <v>158</v>
      </c>
      <c r="BA10" s="3" t="s">
        <v>159</v>
      </c>
      <c r="BB10" s="3" t="s">
        <v>152</v>
      </c>
      <c r="BC10" s="3" t="s">
        <v>161</v>
      </c>
      <c r="BD10" s="3" t="s">
        <v>133</v>
      </c>
      <c r="BE10" s="3" t="s">
        <v>23</v>
      </c>
      <c r="BF10" s="3" t="s">
        <v>134</v>
      </c>
      <c r="BG10" s="3" t="s">
        <v>24</v>
      </c>
      <c r="BH10" s="3" t="s">
        <v>155</v>
      </c>
      <c r="BI10" s="3" t="s">
        <v>179</v>
      </c>
      <c r="BJ10" s="3" t="s">
        <v>20</v>
      </c>
      <c r="BK10" s="3" t="s">
        <v>26</v>
      </c>
      <c r="BL10" s="3" t="s">
        <v>137</v>
      </c>
      <c r="BM10" s="3" t="s">
        <v>138</v>
      </c>
      <c r="BN10" s="3" t="s">
        <v>8</v>
      </c>
      <c r="BO10" s="3" t="s">
        <v>26</v>
      </c>
      <c r="BP10" s="3" t="s">
        <v>16</v>
      </c>
      <c r="BQ10" s="3" t="s">
        <v>26</v>
      </c>
      <c r="BR10" s="3" t="s">
        <v>28</v>
      </c>
      <c r="BS10" s="3" t="s">
        <v>14</v>
      </c>
      <c r="BT10" s="3" t="s">
        <v>220</v>
      </c>
    </row>
    <row r="11" spans="1:72" ht="28.5">
      <c r="A11" s="3">
        <v>9</v>
      </c>
      <c r="B11" s="3">
        <v>46184.391562500001</v>
      </c>
      <c r="C11" s="3">
        <v>46184.422303240703</v>
      </c>
      <c r="D11" s="3" t="s">
        <v>104</v>
      </c>
      <c r="E11" s="3"/>
      <c r="F11" s="3" t="s">
        <v>221</v>
      </c>
      <c r="G11" s="3" t="s">
        <v>1</v>
      </c>
      <c r="H11" s="3" t="s">
        <v>2</v>
      </c>
      <c r="I11" s="3" t="s">
        <v>222</v>
      </c>
      <c r="J11" s="3" t="s">
        <v>3</v>
      </c>
      <c r="K11" s="3"/>
      <c r="L11" s="3" t="s">
        <v>8</v>
      </c>
      <c r="M11" s="3" t="s">
        <v>9</v>
      </c>
      <c r="N11" s="3" t="s">
        <v>171</v>
      </c>
      <c r="O11" s="3" t="s">
        <v>130</v>
      </c>
      <c r="P11" s="3" t="s">
        <v>16</v>
      </c>
      <c r="Q11" s="3" t="s">
        <v>15</v>
      </c>
      <c r="R11" s="3" t="s">
        <v>15</v>
      </c>
      <c r="S11" s="3" t="s">
        <v>15</v>
      </c>
      <c r="T11" s="3" t="s">
        <v>8</v>
      </c>
      <c r="U11" s="3" t="s">
        <v>8</v>
      </c>
      <c r="V11" s="3" t="s">
        <v>8</v>
      </c>
      <c r="W11" s="3" t="s">
        <v>112</v>
      </c>
      <c r="X11" s="3" t="s">
        <v>23</v>
      </c>
      <c r="Y11" s="3" t="s">
        <v>147</v>
      </c>
      <c r="Z11" s="3" t="s">
        <v>184</v>
      </c>
      <c r="AA11" s="3" t="s">
        <v>223</v>
      </c>
      <c r="AB11" s="3" t="s">
        <v>14</v>
      </c>
      <c r="AC11" s="3" t="s">
        <v>26</v>
      </c>
      <c r="AD11" s="3" t="s">
        <v>15</v>
      </c>
      <c r="AE11" s="3" t="s">
        <v>145</v>
      </c>
      <c r="AF11" s="3" t="s">
        <v>26</v>
      </c>
      <c r="AG11" s="3" t="s">
        <v>26</v>
      </c>
      <c r="AH11" s="3" t="s">
        <v>26</v>
      </c>
      <c r="AI11" s="3" t="s">
        <v>20</v>
      </c>
      <c r="AJ11" s="3" t="s">
        <v>224</v>
      </c>
      <c r="AK11" s="3" t="s">
        <v>150</v>
      </c>
      <c r="AL11" s="3" t="s">
        <v>121</v>
      </c>
      <c r="AM11" s="3" t="s">
        <v>152</v>
      </c>
      <c r="AN11" s="3" t="s">
        <v>225</v>
      </c>
      <c r="AO11" s="3" t="s">
        <v>226</v>
      </c>
      <c r="AP11" s="3" t="s">
        <v>125</v>
      </c>
      <c r="AQ11" s="3" t="s">
        <v>24</v>
      </c>
      <c r="AR11" s="3" t="s">
        <v>113</v>
      </c>
      <c r="AS11" s="3" t="s">
        <v>217</v>
      </c>
      <c r="AT11" s="3" t="s">
        <v>26</v>
      </c>
      <c r="AU11" s="3" t="s">
        <v>218</v>
      </c>
      <c r="AV11" s="3" t="s">
        <v>176</v>
      </c>
      <c r="AW11" s="3" t="s">
        <v>227</v>
      </c>
      <c r="AX11" s="3" t="s">
        <v>129</v>
      </c>
      <c r="AY11" s="3" t="s">
        <v>130</v>
      </c>
      <c r="AZ11" s="3" t="s">
        <v>202</v>
      </c>
      <c r="BA11" s="3" t="s">
        <v>159</v>
      </c>
      <c r="BB11" s="3" t="s">
        <v>152</v>
      </c>
      <c r="BC11" s="3" t="s">
        <v>22</v>
      </c>
      <c r="BD11" s="3" t="s">
        <v>161</v>
      </c>
      <c r="BE11" s="3" t="s">
        <v>23</v>
      </c>
      <c r="BF11" s="3" t="s">
        <v>23</v>
      </c>
      <c r="BG11" s="3" t="s">
        <v>24</v>
      </c>
      <c r="BH11" s="3" t="s">
        <v>106</v>
      </c>
      <c r="BI11" s="3" t="s">
        <v>209</v>
      </c>
      <c r="BJ11" s="3" t="s">
        <v>20</v>
      </c>
      <c r="BK11" s="3" t="s">
        <v>26</v>
      </c>
      <c r="BL11" s="3" t="s">
        <v>27</v>
      </c>
      <c r="BM11" s="3" t="s">
        <v>162</v>
      </c>
      <c r="BN11" s="3" t="s">
        <v>8</v>
      </c>
      <c r="BO11" s="3" t="s">
        <v>26</v>
      </c>
      <c r="BP11" s="3" t="s">
        <v>8</v>
      </c>
      <c r="BQ11" s="3" t="s">
        <v>20</v>
      </c>
      <c r="BR11" s="3" t="s">
        <v>210</v>
      </c>
      <c r="BS11" s="3" t="s">
        <v>14</v>
      </c>
      <c r="BT11" s="3" t="s">
        <v>228</v>
      </c>
    </row>
    <row r="12" spans="1:72">
      <c r="A12" s="3">
        <v>10</v>
      </c>
      <c r="B12" s="3">
        <v>46184.576203703698</v>
      </c>
      <c r="C12" s="3">
        <v>46184.581655092603</v>
      </c>
      <c r="D12" s="3" t="s">
        <v>104</v>
      </c>
      <c r="E12" s="3"/>
      <c r="F12" s="3" t="s">
        <v>229</v>
      </c>
      <c r="G12" s="3" t="s">
        <v>145</v>
      </c>
      <c r="H12" s="3" t="s">
        <v>142</v>
      </c>
      <c r="I12" s="3" t="s">
        <v>108</v>
      </c>
      <c r="J12" s="3" t="s">
        <v>169</v>
      </c>
      <c r="K12" s="3" t="s">
        <v>192</v>
      </c>
      <c r="L12" s="3" t="s">
        <v>15</v>
      </c>
      <c r="M12" s="3" t="s">
        <v>14</v>
      </c>
      <c r="N12" s="3" t="s">
        <v>214</v>
      </c>
      <c r="O12" s="3" t="s">
        <v>15</v>
      </c>
      <c r="P12" s="3" t="s">
        <v>111</v>
      </c>
      <c r="Q12" s="3" t="s">
        <v>8</v>
      </c>
      <c r="R12" s="3" t="s">
        <v>15</v>
      </c>
      <c r="S12" s="3" t="s">
        <v>15</v>
      </c>
      <c r="T12" s="3" t="s">
        <v>16</v>
      </c>
      <c r="U12" s="3" t="s">
        <v>172</v>
      </c>
      <c r="V12" s="3" t="s">
        <v>172</v>
      </c>
      <c r="W12" s="3" t="s">
        <v>112</v>
      </c>
      <c r="X12" s="3" t="s">
        <v>24</v>
      </c>
      <c r="Y12" s="3" t="s">
        <v>147</v>
      </c>
      <c r="Z12" s="3" t="s">
        <v>115</v>
      </c>
      <c r="AA12" s="3" t="s">
        <v>116</v>
      </c>
      <c r="AB12" s="3" t="s">
        <v>117</v>
      </c>
      <c r="AC12" s="3" t="s">
        <v>20</v>
      </c>
      <c r="AD12" s="3" t="s">
        <v>8</v>
      </c>
      <c r="AE12" s="3" t="s">
        <v>8</v>
      </c>
      <c r="AF12" s="3" t="s">
        <v>26</v>
      </c>
      <c r="AG12" s="3" t="s">
        <v>26</v>
      </c>
      <c r="AH12" s="3" t="s">
        <v>26</v>
      </c>
      <c r="AI12" s="3" t="s">
        <v>26</v>
      </c>
      <c r="AJ12" s="3" t="s">
        <v>119</v>
      </c>
      <c r="AK12" s="3" t="s">
        <v>120</v>
      </c>
      <c r="AL12" s="3" t="s">
        <v>215</v>
      </c>
      <c r="AM12" s="3" t="s">
        <v>160</v>
      </c>
      <c r="AN12" s="3" t="s">
        <v>193</v>
      </c>
      <c r="AO12" s="3" t="s">
        <v>173</v>
      </c>
      <c r="AP12" s="3" t="s">
        <v>24</v>
      </c>
      <c r="AQ12" s="3" t="s">
        <v>144</v>
      </c>
      <c r="AR12" s="3" t="s">
        <v>125</v>
      </c>
      <c r="AS12" s="3" t="s">
        <v>126</v>
      </c>
      <c r="AT12" s="3" t="s">
        <v>20</v>
      </c>
      <c r="AU12" s="3" t="s">
        <v>175</v>
      </c>
      <c r="AV12" s="3" t="s">
        <v>176</v>
      </c>
      <c r="AW12" s="3" t="s">
        <v>156</v>
      </c>
      <c r="AX12" s="3" t="s">
        <v>129</v>
      </c>
      <c r="AY12" s="3" t="s">
        <v>15</v>
      </c>
      <c r="AZ12" s="3" t="s">
        <v>158</v>
      </c>
      <c r="BA12" s="3" t="s">
        <v>159</v>
      </c>
      <c r="BB12" s="3" t="s">
        <v>152</v>
      </c>
      <c r="BC12" s="3" t="s">
        <v>161</v>
      </c>
      <c r="BD12" s="3" t="s">
        <v>133</v>
      </c>
      <c r="BE12" s="3" t="s">
        <v>23</v>
      </c>
      <c r="BF12" s="3" t="s">
        <v>134</v>
      </c>
      <c r="BG12" s="3" t="s">
        <v>24</v>
      </c>
      <c r="BH12" s="3" t="s">
        <v>208</v>
      </c>
      <c r="BI12" s="3" t="s">
        <v>179</v>
      </c>
      <c r="BJ12" s="3" t="s">
        <v>20</v>
      </c>
      <c r="BK12" s="3" t="s">
        <v>20</v>
      </c>
      <c r="BL12" s="3" t="s">
        <v>164</v>
      </c>
      <c r="BM12" s="3" t="s">
        <v>189</v>
      </c>
      <c r="BN12" s="3" t="s">
        <v>172</v>
      </c>
      <c r="BO12" s="3" t="s">
        <v>20</v>
      </c>
      <c r="BP12" s="3" t="s">
        <v>16</v>
      </c>
      <c r="BQ12" s="3" t="s">
        <v>20</v>
      </c>
      <c r="BR12" s="3" t="s">
        <v>28</v>
      </c>
      <c r="BS12" s="3" t="s">
        <v>14</v>
      </c>
      <c r="BT12" s="3" t="s">
        <v>230</v>
      </c>
    </row>
    <row r="13" spans="1:72">
      <c r="A13" s="3">
        <v>11</v>
      </c>
      <c r="B13" s="3">
        <v>46184.6417939815</v>
      </c>
      <c r="C13" s="3">
        <v>46184.6467708333</v>
      </c>
      <c r="D13" s="3" t="s">
        <v>104</v>
      </c>
      <c r="E13" s="3"/>
      <c r="F13" s="3" t="s">
        <v>231</v>
      </c>
      <c r="G13" s="3"/>
      <c r="H13" s="3" t="s">
        <v>2</v>
      </c>
      <c r="I13" s="3" t="s">
        <v>232</v>
      </c>
      <c r="J13" s="3" t="s">
        <v>232</v>
      </c>
      <c r="K13" s="3" t="s">
        <v>233</v>
      </c>
      <c r="L13" s="3" t="s">
        <v>8</v>
      </c>
      <c r="M13" s="3" t="s">
        <v>9</v>
      </c>
      <c r="N13" s="3" t="s">
        <v>234</v>
      </c>
      <c r="O13" s="3" t="s">
        <v>130</v>
      </c>
      <c r="P13" s="3" t="s">
        <v>111</v>
      </c>
      <c r="Q13" s="3" t="s">
        <v>15</v>
      </c>
      <c r="R13" s="3" t="s">
        <v>15</v>
      </c>
      <c r="S13" s="3" t="s">
        <v>14</v>
      </c>
      <c r="T13" s="3" t="s">
        <v>172</v>
      </c>
      <c r="U13" s="3" t="s">
        <v>16</v>
      </c>
      <c r="V13" s="3" t="s">
        <v>172</v>
      </c>
      <c r="W13" s="3" t="s">
        <v>198</v>
      </c>
      <c r="X13" s="3" t="s">
        <v>125</v>
      </c>
      <c r="Y13" s="3" t="s">
        <v>147</v>
      </c>
      <c r="Z13" s="3" t="s">
        <v>184</v>
      </c>
      <c r="AA13" s="3" t="s">
        <v>148</v>
      </c>
      <c r="AB13" s="3" t="s">
        <v>14</v>
      </c>
      <c r="AC13" s="3" t="s">
        <v>26</v>
      </c>
      <c r="AD13" s="3" t="s">
        <v>172</v>
      </c>
      <c r="AE13" s="3" t="s">
        <v>14</v>
      </c>
      <c r="AF13" s="3" t="s">
        <v>26</v>
      </c>
      <c r="AG13" s="3" t="s">
        <v>26</v>
      </c>
      <c r="AH13" s="3" t="s">
        <v>26</v>
      </c>
      <c r="AI13" s="3" t="s">
        <v>20</v>
      </c>
      <c r="AJ13" s="3" t="s">
        <v>149</v>
      </c>
      <c r="AK13" s="3" t="s">
        <v>152</v>
      </c>
      <c r="AL13" s="3" t="s">
        <v>151</v>
      </c>
      <c r="AM13" s="3" t="s">
        <v>152</v>
      </c>
      <c r="AN13" s="3" t="s">
        <v>109</v>
      </c>
      <c r="AO13" s="3" t="s">
        <v>226</v>
      </c>
      <c r="AP13" s="3" t="s">
        <v>125</v>
      </c>
      <c r="AQ13" s="3" t="s">
        <v>113</v>
      </c>
      <c r="AR13" s="3" t="s">
        <v>125</v>
      </c>
      <c r="AS13" s="3" t="s">
        <v>126</v>
      </c>
      <c r="AT13" s="3" t="s">
        <v>20</v>
      </c>
      <c r="AU13" s="3" t="s">
        <v>1</v>
      </c>
      <c r="AV13" s="3" t="s">
        <v>185</v>
      </c>
      <c r="AW13" s="3" t="s">
        <v>156</v>
      </c>
      <c r="AX13" s="3" t="s">
        <v>207</v>
      </c>
      <c r="AY13" s="3" t="s">
        <v>15</v>
      </c>
      <c r="AZ13" s="3" t="s">
        <v>202</v>
      </c>
      <c r="BA13" s="3" t="s">
        <v>159</v>
      </c>
      <c r="BB13" s="3" t="s">
        <v>152</v>
      </c>
      <c r="BC13" s="3" t="s">
        <v>22</v>
      </c>
      <c r="BD13" s="3" t="s">
        <v>161</v>
      </c>
      <c r="BE13" s="3" t="s">
        <v>23</v>
      </c>
      <c r="BF13" s="3" t="s">
        <v>23</v>
      </c>
      <c r="BG13" s="3" t="s">
        <v>24</v>
      </c>
      <c r="BH13" s="3" t="s">
        <v>162</v>
      </c>
      <c r="BI13" s="3" t="s">
        <v>179</v>
      </c>
      <c r="BJ13" s="3" t="s">
        <v>20</v>
      </c>
      <c r="BK13" s="3" t="s">
        <v>20</v>
      </c>
      <c r="BL13" s="3" t="s">
        <v>235</v>
      </c>
      <c r="BM13" s="3" t="s">
        <v>162</v>
      </c>
      <c r="BN13" s="3" t="s">
        <v>8</v>
      </c>
      <c r="BO13" s="3" t="s">
        <v>26</v>
      </c>
      <c r="BP13" s="3" t="s">
        <v>8</v>
      </c>
      <c r="BQ13" s="3" t="s">
        <v>20</v>
      </c>
      <c r="BR13" s="3" t="s">
        <v>28</v>
      </c>
      <c r="BS13" s="3" t="s">
        <v>14</v>
      </c>
      <c r="BT13" s="3" t="s">
        <v>236</v>
      </c>
    </row>
    <row r="14" spans="1:72">
      <c r="A14" s="3">
        <v>12</v>
      </c>
      <c r="B14" s="3">
        <v>46184.805532407401</v>
      </c>
      <c r="C14" s="3">
        <v>46184.809664351902</v>
      </c>
      <c r="D14" s="3" t="s">
        <v>104</v>
      </c>
      <c r="E14" s="3"/>
      <c r="F14" s="3" t="s">
        <v>237</v>
      </c>
      <c r="G14" s="3" t="s">
        <v>1</v>
      </c>
      <c r="H14" s="3" t="s">
        <v>142</v>
      </c>
      <c r="I14" s="3" t="s">
        <v>108</v>
      </c>
      <c r="J14" s="3" t="s">
        <v>3</v>
      </c>
      <c r="K14" s="3" t="s">
        <v>238</v>
      </c>
      <c r="L14" s="3" t="s">
        <v>15</v>
      </c>
      <c r="M14" s="3" t="s">
        <v>14</v>
      </c>
      <c r="N14" s="3" t="s">
        <v>214</v>
      </c>
      <c r="O14" s="3" t="s">
        <v>15</v>
      </c>
      <c r="P14" s="3" t="s">
        <v>111</v>
      </c>
      <c r="Q14" s="3" t="s">
        <v>172</v>
      </c>
      <c r="R14" s="3" t="s">
        <v>8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112</v>
      </c>
      <c r="X14" s="3" t="s">
        <v>24</v>
      </c>
      <c r="Y14" s="3" t="s">
        <v>183</v>
      </c>
      <c r="Z14" s="3" t="s">
        <v>184</v>
      </c>
      <c r="AA14" s="3" t="s">
        <v>148</v>
      </c>
      <c r="AB14" s="3" t="s">
        <v>14</v>
      </c>
      <c r="AC14" s="3" t="s">
        <v>26</v>
      </c>
      <c r="AD14" s="3" t="s">
        <v>145</v>
      </c>
      <c r="AE14" s="3" t="s">
        <v>118</v>
      </c>
      <c r="AF14" s="3" t="s">
        <v>26</v>
      </c>
      <c r="AG14" s="3" t="s">
        <v>26</v>
      </c>
      <c r="AH14" s="3" t="s">
        <v>20</v>
      </c>
      <c r="AI14" s="3" t="s">
        <v>20</v>
      </c>
      <c r="AJ14" s="3" t="s">
        <v>149</v>
      </c>
      <c r="AK14" s="3" t="s">
        <v>199</v>
      </c>
      <c r="AL14" s="3" t="s">
        <v>215</v>
      </c>
      <c r="AM14" s="3" t="s">
        <v>152</v>
      </c>
      <c r="AN14" s="3" t="s">
        <v>216</v>
      </c>
      <c r="AO14" s="3" t="s">
        <v>154</v>
      </c>
      <c r="AP14" s="3" t="s">
        <v>125</v>
      </c>
      <c r="AQ14" s="3" t="s">
        <v>24</v>
      </c>
      <c r="AR14" s="3" t="s">
        <v>125</v>
      </c>
      <c r="AS14" s="3" t="s">
        <v>126</v>
      </c>
      <c r="AT14" s="3" t="s">
        <v>26</v>
      </c>
      <c r="AU14" s="3" t="s">
        <v>106</v>
      </c>
      <c r="AV14" s="3" t="s">
        <v>176</v>
      </c>
      <c r="AW14" s="3" t="s">
        <v>156</v>
      </c>
      <c r="AX14" s="3" t="s">
        <v>157</v>
      </c>
      <c r="AY14" s="3" t="s">
        <v>130</v>
      </c>
      <c r="AZ14" s="3" t="s">
        <v>202</v>
      </c>
      <c r="BA14" s="3" t="s">
        <v>159</v>
      </c>
      <c r="BB14" s="3" t="s">
        <v>152</v>
      </c>
      <c r="BC14" s="3" t="s">
        <v>177</v>
      </c>
      <c r="BD14" s="3" t="s">
        <v>177</v>
      </c>
      <c r="BE14" s="3" t="s">
        <v>23</v>
      </c>
      <c r="BF14" s="3" t="s">
        <v>134</v>
      </c>
      <c r="BG14" s="3" t="s">
        <v>24</v>
      </c>
      <c r="BH14" s="3" t="s">
        <v>239</v>
      </c>
      <c r="BI14" s="3" t="s">
        <v>188</v>
      </c>
      <c r="BJ14" s="3" t="s">
        <v>20</v>
      </c>
      <c r="BK14" s="3" t="s">
        <v>26</v>
      </c>
      <c r="BL14" s="3" t="s">
        <v>137</v>
      </c>
      <c r="BM14" s="3" t="s">
        <v>138</v>
      </c>
      <c r="BN14" s="3" t="s">
        <v>8</v>
      </c>
      <c r="BO14" s="3" t="s">
        <v>20</v>
      </c>
      <c r="BP14" s="3" t="s">
        <v>16</v>
      </c>
      <c r="BQ14" s="3" t="s">
        <v>20</v>
      </c>
      <c r="BR14" s="3" t="s">
        <v>28</v>
      </c>
      <c r="BS14" s="3" t="s">
        <v>8</v>
      </c>
      <c r="BT14" s="3" t="s">
        <v>240</v>
      </c>
    </row>
    <row r="15" spans="1:72">
      <c r="A15" s="3">
        <v>13</v>
      </c>
      <c r="B15" s="3">
        <v>46184.811064814799</v>
      </c>
      <c r="C15" s="3">
        <v>46184.818541666697</v>
      </c>
      <c r="D15" s="3" t="s">
        <v>104</v>
      </c>
      <c r="E15" s="3"/>
      <c r="F15" s="3" t="s">
        <v>241</v>
      </c>
      <c r="G15" s="3" t="s">
        <v>106</v>
      </c>
      <c r="H15" s="3" t="s">
        <v>142</v>
      </c>
      <c r="I15" s="3" t="s">
        <v>108</v>
      </c>
      <c r="J15" s="3" t="s">
        <v>242</v>
      </c>
      <c r="K15" s="3" t="s">
        <v>144</v>
      </c>
      <c r="L15" s="3" t="s">
        <v>8</v>
      </c>
      <c r="M15" s="3" t="s">
        <v>145</v>
      </c>
      <c r="N15" s="3" t="s">
        <v>171</v>
      </c>
      <c r="O15" s="3" t="s">
        <v>8</v>
      </c>
      <c r="P15" s="3" t="s">
        <v>16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15</v>
      </c>
      <c r="V15" s="3" t="s">
        <v>16</v>
      </c>
      <c r="W15" s="3" t="s">
        <v>146</v>
      </c>
      <c r="X15" s="3" t="s">
        <v>24</v>
      </c>
      <c r="Y15" s="3" t="s">
        <v>147</v>
      </c>
      <c r="Z15" s="3" t="s">
        <v>184</v>
      </c>
      <c r="AA15" s="3" t="s">
        <v>116</v>
      </c>
      <c r="AB15" s="3" t="s">
        <v>14</v>
      </c>
      <c r="AC15" s="3" t="s">
        <v>26</v>
      </c>
      <c r="AD15" s="3" t="s">
        <v>15</v>
      </c>
      <c r="AE15" s="3" t="s">
        <v>118</v>
      </c>
      <c r="AF15" s="3" t="s">
        <v>26</v>
      </c>
      <c r="AG15" s="3" t="s">
        <v>26</v>
      </c>
      <c r="AH15" s="3" t="s">
        <v>20</v>
      </c>
      <c r="AI15" s="3" t="s">
        <v>20</v>
      </c>
      <c r="AJ15" s="3" t="s">
        <v>149</v>
      </c>
      <c r="AK15" s="3" t="s">
        <v>150</v>
      </c>
      <c r="AL15" s="3" t="s">
        <v>151</v>
      </c>
      <c r="AM15" s="3" t="s">
        <v>152</v>
      </c>
      <c r="AN15" s="3" t="s">
        <v>225</v>
      </c>
      <c r="AO15" s="3" t="s">
        <v>173</v>
      </c>
      <c r="AP15" s="3" t="s">
        <v>24</v>
      </c>
      <c r="AQ15" s="3" t="s">
        <v>243</v>
      </c>
      <c r="AR15" s="3" t="s">
        <v>184</v>
      </c>
      <c r="AS15" s="3" t="s">
        <v>126</v>
      </c>
      <c r="AT15" s="3" t="s">
        <v>26</v>
      </c>
      <c r="AU15" s="3" t="s">
        <v>1</v>
      </c>
      <c r="AV15" s="3" t="s">
        <v>127</v>
      </c>
      <c r="AW15" s="3" t="s">
        <v>227</v>
      </c>
      <c r="AX15" s="3" t="s">
        <v>207</v>
      </c>
      <c r="AY15" s="3" t="s">
        <v>14</v>
      </c>
      <c r="AZ15" s="3" t="s">
        <v>202</v>
      </c>
      <c r="BA15" s="3" t="s">
        <v>159</v>
      </c>
      <c r="BB15" s="3" t="s">
        <v>152</v>
      </c>
      <c r="BC15" s="3" t="s">
        <v>161</v>
      </c>
      <c r="BD15" s="3" t="s">
        <v>177</v>
      </c>
      <c r="BE15" s="3" t="s">
        <v>23</v>
      </c>
      <c r="BF15" s="3" t="s">
        <v>23</v>
      </c>
      <c r="BG15" s="3" t="s">
        <v>24</v>
      </c>
      <c r="BH15" s="3" t="s">
        <v>138</v>
      </c>
      <c r="BI15" s="3" t="s">
        <v>179</v>
      </c>
      <c r="BJ15" s="3" t="s">
        <v>20</v>
      </c>
      <c r="BK15" s="3" t="s">
        <v>26</v>
      </c>
      <c r="BL15" s="3" t="s">
        <v>164</v>
      </c>
      <c r="BM15" s="3" t="s">
        <v>138</v>
      </c>
      <c r="BN15" s="3" t="s">
        <v>8</v>
      </c>
      <c r="BO15" s="3" t="s">
        <v>20</v>
      </c>
      <c r="BP15" s="3" t="s">
        <v>16</v>
      </c>
      <c r="BQ15" s="3" t="s">
        <v>26</v>
      </c>
      <c r="BR15" s="3" t="s">
        <v>244</v>
      </c>
      <c r="BS15" s="3" t="s">
        <v>15</v>
      </c>
      <c r="BT15" s="3"/>
    </row>
    <row r="16" spans="1:72">
      <c r="A16" s="3">
        <v>14</v>
      </c>
      <c r="B16" s="3">
        <v>46184.817071759302</v>
      </c>
      <c r="C16" s="3">
        <v>46184.822187500002</v>
      </c>
      <c r="D16" s="3" t="s">
        <v>104</v>
      </c>
      <c r="E16" s="3"/>
      <c r="F16" s="3" t="s">
        <v>245</v>
      </c>
      <c r="G16" s="3" t="s">
        <v>246</v>
      </c>
      <c r="H16" s="3" t="s">
        <v>107</v>
      </c>
      <c r="I16" s="3" t="s">
        <v>108</v>
      </c>
      <c r="J16" s="3" t="s">
        <v>5</v>
      </c>
      <c r="K16" s="3" t="s">
        <v>197</v>
      </c>
      <c r="L16" s="3" t="s">
        <v>16</v>
      </c>
      <c r="M16" s="3" t="s">
        <v>9</v>
      </c>
      <c r="N16" s="3" t="s">
        <v>214</v>
      </c>
      <c r="O16" s="3" t="s">
        <v>14</v>
      </c>
      <c r="P16" s="3" t="s">
        <v>111</v>
      </c>
      <c r="Q16" s="3" t="s">
        <v>8</v>
      </c>
      <c r="R16" s="3" t="s">
        <v>15</v>
      </c>
      <c r="S16" s="3" t="s">
        <v>8</v>
      </c>
      <c r="T16" s="3" t="s">
        <v>16</v>
      </c>
      <c r="U16" s="3" t="s">
        <v>172</v>
      </c>
      <c r="V16" s="3" t="s">
        <v>172</v>
      </c>
      <c r="W16" s="3" t="s">
        <v>112</v>
      </c>
      <c r="X16" s="3" t="s">
        <v>24</v>
      </c>
      <c r="Y16" s="3" t="s">
        <v>147</v>
      </c>
      <c r="Z16" s="3" t="s">
        <v>247</v>
      </c>
      <c r="AA16" s="3" t="s">
        <v>148</v>
      </c>
      <c r="AB16" s="3" t="s">
        <v>14</v>
      </c>
      <c r="AC16" s="3" t="s">
        <v>26</v>
      </c>
      <c r="AD16" s="3" t="s">
        <v>8</v>
      </c>
      <c r="AE16" s="3" t="s">
        <v>14</v>
      </c>
      <c r="AF16" s="3" t="s">
        <v>26</v>
      </c>
      <c r="AG16" s="3" t="s">
        <v>26</v>
      </c>
      <c r="AH16" s="3" t="s">
        <v>26</v>
      </c>
      <c r="AI16" s="3" t="s">
        <v>20</v>
      </c>
      <c r="AJ16" s="3" t="s">
        <v>149</v>
      </c>
      <c r="AK16" s="3" t="s">
        <v>150</v>
      </c>
      <c r="AL16" s="3" t="s">
        <v>248</v>
      </c>
      <c r="AM16" s="3" t="s">
        <v>152</v>
      </c>
      <c r="AN16" s="3" t="s">
        <v>153</v>
      </c>
      <c r="AO16" s="3" t="s">
        <v>173</v>
      </c>
      <c r="AP16" s="3" t="s">
        <v>125</v>
      </c>
      <c r="AQ16" s="3" t="s">
        <v>113</v>
      </c>
      <c r="AR16" s="3" t="s">
        <v>24</v>
      </c>
      <c r="AS16" s="3" t="s">
        <v>126</v>
      </c>
      <c r="AT16" s="3" t="s">
        <v>20</v>
      </c>
      <c r="AU16" s="3" t="s">
        <v>145</v>
      </c>
      <c r="AV16" s="3" t="s">
        <v>127</v>
      </c>
      <c r="AW16" s="3" t="s">
        <v>227</v>
      </c>
      <c r="AX16" s="3" t="s">
        <v>157</v>
      </c>
      <c r="AY16" s="3" t="s">
        <v>15</v>
      </c>
      <c r="AZ16" s="3" t="s">
        <v>202</v>
      </c>
      <c r="BA16" s="3" t="s">
        <v>159</v>
      </c>
      <c r="BB16" s="3" t="s">
        <v>152</v>
      </c>
      <c r="BC16" s="3" t="s">
        <v>177</v>
      </c>
      <c r="BD16" s="3" t="s">
        <v>133</v>
      </c>
      <c r="BE16" s="3" t="s">
        <v>23</v>
      </c>
      <c r="BF16" s="3" t="s">
        <v>23</v>
      </c>
      <c r="BG16" s="3" t="s">
        <v>23</v>
      </c>
      <c r="BH16" s="3" t="s">
        <v>155</v>
      </c>
      <c r="BI16" s="3" t="s">
        <v>249</v>
      </c>
      <c r="BJ16" s="3" t="s">
        <v>20</v>
      </c>
      <c r="BK16" s="3" t="s">
        <v>26</v>
      </c>
      <c r="BL16" s="3" t="s">
        <v>164</v>
      </c>
      <c r="BM16" s="3" t="s">
        <v>138</v>
      </c>
      <c r="BN16" s="3" t="s">
        <v>8</v>
      </c>
      <c r="BO16" s="3" t="s">
        <v>26</v>
      </c>
      <c r="BP16" s="3" t="s">
        <v>16</v>
      </c>
      <c r="BQ16" s="3" t="s">
        <v>26</v>
      </c>
      <c r="BR16" s="3" t="s">
        <v>210</v>
      </c>
      <c r="BS16" s="3" t="s">
        <v>14</v>
      </c>
      <c r="BT16" s="3" t="s">
        <v>250</v>
      </c>
    </row>
    <row r="17" spans="1:72">
      <c r="A17" s="3">
        <v>15</v>
      </c>
      <c r="B17" s="3">
        <v>46184.842453703699</v>
      </c>
      <c r="C17" s="3">
        <v>46184.850381944401</v>
      </c>
      <c r="D17" s="3" t="s">
        <v>104</v>
      </c>
      <c r="E17" s="3"/>
      <c r="F17" s="3" t="s">
        <v>251</v>
      </c>
      <c r="G17" s="3" t="s">
        <v>246</v>
      </c>
      <c r="H17" s="3" t="s">
        <v>107</v>
      </c>
      <c r="I17" s="3" t="s">
        <v>232</v>
      </c>
      <c r="J17" s="3" t="s">
        <v>5</v>
      </c>
      <c r="K17" s="3" t="s">
        <v>170</v>
      </c>
      <c r="L17" s="3" t="s">
        <v>8</v>
      </c>
      <c r="M17" s="3" t="s">
        <v>145</v>
      </c>
      <c r="N17" s="3" t="s">
        <v>214</v>
      </c>
      <c r="O17" s="3" t="s">
        <v>8</v>
      </c>
      <c r="P17" s="3" t="s">
        <v>8</v>
      </c>
      <c r="Q17" s="3" t="s">
        <v>16</v>
      </c>
      <c r="R17" s="3" t="s">
        <v>8</v>
      </c>
      <c r="S17" s="3" t="s">
        <v>15</v>
      </c>
      <c r="T17" s="3" t="s">
        <v>16</v>
      </c>
      <c r="U17" s="3" t="s">
        <v>16</v>
      </c>
      <c r="V17" s="3" t="s">
        <v>16</v>
      </c>
      <c r="W17" s="3" t="s">
        <v>146</v>
      </c>
      <c r="X17" s="3" t="s">
        <v>24</v>
      </c>
      <c r="Y17" s="3" t="s">
        <v>147</v>
      </c>
      <c r="Z17" s="3" t="s">
        <v>184</v>
      </c>
      <c r="AA17" s="3" t="s">
        <v>116</v>
      </c>
      <c r="AB17" s="3" t="s">
        <v>117</v>
      </c>
      <c r="AC17" s="3" t="s">
        <v>26</v>
      </c>
      <c r="AD17" s="3" t="s">
        <v>8</v>
      </c>
      <c r="AE17" s="3" t="s">
        <v>8</v>
      </c>
      <c r="AF17" s="3" t="s">
        <v>26</v>
      </c>
      <c r="AG17" s="3" t="s">
        <v>26</v>
      </c>
      <c r="AH17" s="3" t="s">
        <v>26</v>
      </c>
      <c r="AI17" s="3" t="s">
        <v>20</v>
      </c>
      <c r="AJ17" s="3" t="s">
        <v>109</v>
      </c>
      <c r="AK17" s="3" t="s">
        <v>150</v>
      </c>
      <c r="AL17" s="3" t="s">
        <v>248</v>
      </c>
      <c r="AM17" s="3" t="s">
        <v>152</v>
      </c>
      <c r="AN17" s="3" t="s">
        <v>200</v>
      </c>
      <c r="AO17" s="3" t="s">
        <v>124</v>
      </c>
      <c r="AP17" s="3" t="s">
        <v>125</v>
      </c>
      <c r="AQ17" s="3" t="s">
        <v>113</v>
      </c>
      <c r="AR17" s="3" t="s">
        <v>174</v>
      </c>
      <c r="AS17" s="3" t="s">
        <v>126</v>
      </c>
      <c r="AT17" s="3" t="s">
        <v>20</v>
      </c>
      <c r="AU17" s="3" t="s">
        <v>175</v>
      </c>
      <c r="AV17" s="3" t="s">
        <v>176</v>
      </c>
      <c r="AW17" s="3" t="s">
        <v>156</v>
      </c>
      <c r="AX17" s="3" t="s">
        <v>157</v>
      </c>
      <c r="AY17" s="3" t="s">
        <v>15</v>
      </c>
      <c r="AZ17" s="3" t="s">
        <v>202</v>
      </c>
      <c r="BA17" s="3" t="s">
        <v>159</v>
      </c>
      <c r="BB17" s="3" t="s">
        <v>152</v>
      </c>
      <c r="BC17" s="3" t="s">
        <v>22</v>
      </c>
      <c r="BD17" s="3" t="s">
        <v>177</v>
      </c>
      <c r="BE17" s="3" t="s">
        <v>23</v>
      </c>
      <c r="BF17" s="3" t="s">
        <v>23</v>
      </c>
      <c r="BG17" s="3" t="s">
        <v>24</v>
      </c>
      <c r="BH17" s="3" t="s">
        <v>1</v>
      </c>
      <c r="BI17" s="3" t="s">
        <v>179</v>
      </c>
      <c r="BJ17" s="3" t="s">
        <v>20</v>
      </c>
      <c r="BK17" s="3" t="s">
        <v>20</v>
      </c>
      <c r="BL17" s="3" t="s">
        <v>164</v>
      </c>
      <c r="BM17" s="3" t="s">
        <v>162</v>
      </c>
      <c r="BN17" s="3" t="s">
        <v>111</v>
      </c>
      <c r="BO17" s="3" t="s">
        <v>26</v>
      </c>
      <c r="BP17" s="3" t="s">
        <v>8</v>
      </c>
      <c r="BQ17" s="3" t="s">
        <v>20</v>
      </c>
      <c r="BR17" s="3" t="s">
        <v>28</v>
      </c>
      <c r="BS17" s="3" t="s">
        <v>29</v>
      </c>
      <c r="BT17" s="3" t="s">
        <v>252</v>
      </c>
    </row>
    <row r="18" spans="1:72">
      <c r="A18" s="3">
        <v>16</v>
      </c>
      <c r="B18" s="3">
        <v>46184.847777777803</v>
      </c>
      <c r="C18" s="3">
        <v>46184.8593287037</v>
      </c>
      <c r="D18" s="3" t="s">
        <v>104</v>
      </c>
      <c r="E18" s="3"/>
      <c r="F18" s="3" t="s">
        <v>253</v>
      </c>
      <c r="G18" s="3" t="s">
        <v>106</v>
      </c>
      <c r="H18" s="3" t="s">
        <v>142</v>
      </c>
      <c r="I18" s="3" t="s">
        <v>232</v>
      </c>
      <c r="J18" s="3" t="s">
        <v>206</v>
      </c>
      <c r="K18" s="3" t="s">
        <v>170</v>
      </c>
      <c r="L18" s="3" t="s">
        <v>8</v>
      </c>
      <c r="M18" s="3" t="s">
        <v>14</v>
      </c>
      <c r="N18" s="3" t="s">
        <v>173</v>
      </c>
      <c r="O18" s="3" t="s">
        <v>8</v>
      </c>
      <c r="P18" s="3" t="s">
        <v>111</v>
      </c>
      <c r="Q18" s="3" t="s">
        <v>15</v>
      </c>
      <c r="R18" s="3" t="s">
        <v>14</v>
      </c>
      <c r="S18" s="3" t="s">
        <v>14</v>
      </c>
      <c r="T18" s="3" t="s">
        <v>8</v>
      </c>
      <c r="U18" s="3" t="s">
        <v>16</v>
      </c>
      <c r="V18" s="3" t="s">
        <v>8</v>
      </c>
      <c r="W18" s="3" t="s">
        <v>112</v>
      </c>
      <c r="X18" s="3" t="s">
        <v>125</v>
      </c>
      <c r="Y18" s="3" t="s">
        <v>147</v>
      </c>
      <c r="Z18" s="3" t="s">
        <v>184</v>
      </c>
      <c r="AA18" s="3" t="s">
        <v>148</v>
      </c>
      <c r="AB18" s="3" t="s">
        <v>9</v>
      </c>
      <c r="AC18" s="3" t="s">
        <v>26</v>
      </c>
      <c r="AD18" s="3" t="s">
        <v>15</v>
      </c>
      <c r="AE18" s="3" t="s">
        <v>118</v>
      </c>
      <c r="AF18" s="3" t="s">
        <v>26</v>
      </c>
      <c r="AG18" s="3" t="s">
        <v>20</v>
      </c>
      <c r="AH18" s="3" t="s">
        <v>26</v>
      </c>
      <c r="AI18" s="3" t="s">
        <v>20</v>
      </c>
      <c r="AJ18" s="3" t="s">
        <v>119</v>
      </c>
      <c r="AK18" s="3" t="s">
        <v>199</v>
      </c>
      <c r="AL18" s="3" t="s">
        <v>254</v>
      </c>
      <c r="AM18" s="3" t="s">
        <v>152</v>
      </c>
      <c r="AN18" s="3" t="s">
        <v>109</v>
      </c>
      <c r="AO18" s="3" t="s">
        <v>124</v>
      </c>
      <c r="AP18" s="3" t="s">
        <v>125</v>
      </c>
      <c r="AQ18" s="3" t="s">
        <v>243</v>
      </c>
      <c r="AR18" s="3" t="s">
        <v>125</v>
      </c>
      <c r="AS18" s="3" t="s">
        <v>126</v>
      </c>
      <c r="AT18" s="3" t="s">
        <v>26</v>
      </c>
      <c r="AU18" s="3" t="s">
        <v>1</v>
      </c>
      <c r="AV18" s="3" t="s">
        <v>185</v>
      </c>
      <c r="AW18" s="3" t="s">
        <v>128</v>
      </c>
      <c r="AX18" s="3" t="s">
        <v>157</v>
      </c>
      <c r="AY18" s="3" t="s">
        <v>130</v>
      </c>
      <c r="AZ18" s="3" t="s">
        <v>21</v>
      </c>
      <c r="BA18" s="3" t="s">
        <v>159</v>
      </c>
      <c r="BB18" s="3" t="s">
        <v>152</v>
      </c>
      <c r="BC18" s="3" t="s">
        <v>22</v>
      </c>
      <c r="BD18" s="3" t="s">
        <v>161</v>
      </c>
      <c r="BE18" s="3" t="s">
        <v>23</v>
      </c>
      <c r="BF18" s="3" t="s">
        <v>134</v>
      </c>
      <c r="BG18" s="3" t="s">
        <v>24</v>
      </c>
      <c r="BH18" s="3" t="s">
        <v>255</v>
      </c>
      <c r="BI18" s="3" t="s">
        <v>179</v>
      </c>
      <c r="BJ18" s="3" t="s">
        <v>20</v>
      </c>
      <c r="BK18" s="3" t="s">
        <v>26</v>
      </c>
      <c r="BL18" s="3" t="s">
        <v>27</v>
      </c>
      <c r="BM18" s="3" t="s">
        <v>138</v>
      </c>
      <c r="BN18" s="3" t="s">
        <v>111</v>
      </c>
      <c r="BO18" s="3" t="s">
        <v>26</v>
      </c>
      <c r="BP18" s="3" t="s">
        <v>8</v>
      </c>
      <c r="BQ18" s="3" t="s">
        <v>20</v>
      </c>
      <c r="BR18" s="3" t="s">
        <v>210</v>
      </c>
      <c r="BS18" s="3" t="s">
        <v>14</v>
      </c>
      <c r="BT18" s="3" t="s">
        <v>250</v>
      </c>
    </row>
    <row r="19" spans="1:72">
      <c r="A19" s="3">
        <v>17</v>
      </c>
      <c r="B19" s="3">
        <v>46184.866249999999</v>
      </c>
      <c r="C19" s="3">
        <v>46184.871238425898</v>
      </c>
      <c r="D19" s="3" t="s">
        <v>104</v>
      </c>
      <c r="E19" s="3"/>
      <c r="F19" s="3" t="s">
        <v>256</v>
      </c>
      <c r="G19" s="3" t="s">
        <v>135</v>
      </c>
      <c r="H19" s="3" t="s">
        <v>142</v>
      </c>
      <c r="I19" s="3" t="s">
        <v>108</v>
      </c>
      <c r="J19" s="3" t="s">
        <v>257</v>
      </c>
      <c r="K19" s="3" t="s">
        <v>170</v>
      </c>
      <c r="L19" s="3" t="s">
        <v>15</v>
      </c>
      <c r="M19" s="3" t="s">
        <v>14</v>
      </c>
      <c r="N19" s="3" t="s">
        <v>214</v>
      </c>
      <c r="O19" s="3" t="s">
        <v>16</v>
      </c>
      <c r="P19" s="3" t="s">
        <v>8</v>
      </c>
      <c r="Q19" s="3" t="s">
        <v>8</v>
      </c>
      <c r="R19" s="3" t="s">
        <v>8</v>
      </c>
      <c r="S19" s="3" t="s">
        <v>15</v>
      </c>
      <c r="T19" s="3" t="s">
        <v>8</v>
      </c>
      <c r="U19" s="3" t="s">
        <v>16</v>
      </c>
      <c r="V19" s="3" t="s">
        <v>172</v>
      </c>
      <c r="W19" s="3" t="s">
        <v>112</v>
      </c>
      <c r="X19" s="3" t="s">
        <v>24</v>
      </c>
      <c r="Y19" s="3"/>
      <c r="Z19" s="3" t="s">
        <v>115</v>
      </c>
      <c r="AA19" s="3" t="s">
        <v>223</v>
      </c>
      <c r="AB19" s="3" t="s">
        <v>14</v>
      </c>
      <c r="AC19" s="3" t="s">
        <v>26</v>
      </c>
      <c r="AD19" s="3" t="s">
        <v>15</v>
      </c>
      <c r="AE19" s="3" t="s">
        <v>15</v>
      </c>
      <c r="AF19" s="3" t="s">
        <v>26</v>
      </c>
      <c r="AG19" s="3" t="s">
        <v>26</v>
      </c>
      <c r="AH19" s="3" t="s">
        <v>26</v>
      </c>
      <c r="AI19" s="3" t="s">
        <v>20</v>
      </c>
      <c r="AJ19" s="3" t="s">
        <v>199</v>
      </c>
      <c r="AK19" s="3" t="s">
        <v>258</v>
      </c>
      <c r="AL19" s="3" t="s">
        <v>215</v>
      </c>
      <c r="AM19" s="3" t="s">
        <v>186</v>
      </c>
      <c r="AN19" s="3" t="s">
        <v>123</v>
      </c>
      <c r="AO19" s="3" t="s">
        <v>173</v>
      </c>
      <c r="AP19" s="3" t="s">
        <v>24</v>
      </c>
      <c r="AQ19" s="3" t="s">
        <v>174</v>
      </c>
      <c r="AR19" s="3" t="s">
        <v>24</v>
      </c>
      <c r="AS19" s="3" t="s">
        <v>126</v>
      </c>
      <c r="AT19" s="3" t="s">
        <v>26</v>
      </c>
      <c r="AU19" s="3" t="s">
        <v>175</v>
      </c>
      <c r="AV19" s="3" t="s">
        <v>176</v>
      </c>
      <c r="AW19" s="3" t="s">
        <v>156</v>
      </c>
      <c r="AX19" s="3" t="s">
        <v>201</v>
      </c>
      <c r="AY19" s="3" t="s">
        <v>15</v>
      </c>
      <c r="AZ19" s="3" t="s">
        <v>202</v>
      </c>
      <c r="BA19" s="3" t="s">
        <v>159</v>
      </c>
      <c r="BB19" s="3" t="s">
        <v>152</v>
      </c>
      <c r="BC19" s="3" t="s">
        <v>22</v>
      </c>
      <c r="BD19" s="3" t="s">
        <v>177</v>
      </c>
      <c r="BE19" s="3" t="s">
        <v>23</v>
      </c>
      <c r="BF19" s="3" t="s">
        <v>23</v>
      </c>
      <c r="BG19" s="3" t="s">
        <v>24</v>
      </c>
      <c r="BH19" s="3" t="s">
        <v>1</v>
      </c>
      <c r="BI19" s="3" t="s">
        <v>179</v>
      </c>
      <c r="BJ19" s="3" t="s">
        <v>20</v>
      </c>
      <c r="BK19" s="3" t="s">
        <v>26</v>
      </c>
      <c r="BL19" s="3" t="s">
        <v>137</v>
      </c>
      <c r="BM19" s="3" t="s">
        <v>162</v>
      </c>
      <c r="BN19" s="3" t="s">
        <v>8</v>
      </c>
      <c r="BO19" s="3" t="s">
        <v>26</v>
      </c>
      <c r="BP19" s="3" t="s">
        <v>8</v>
      </c>
      <c r="BQ19" s="3" t="s">
        <v>26</v>
      </c>
      <c r="BR19" s="3" t="s">
        <v>165</v>
      </c>
      <c r="BS19" s="3" t="s">
        <v>14</v>
      </c>
      <c r="BT19" s="3" t="s">
        <v>259</v>
      </c>
    </row>
    <row r="20" spans="1:72">
      <c r="A20" s="3">
        <v>18</v>
      </c>
      <c r="B20" s="3">
        <v>46184.864340277803</v>
      </c>
      <c r="C20" s="3">
        <v>46184.871724536999</v>
      </c>
      <c r="D20" s="3" t="s">
        <v>104</v>
      </c>
      <c r="E20" s="3"/>
      <c r="F20" s="3" t="s">
        <v>260</v>
      </c>
      <c r="G20" s="3" t="s">
        <v>106</v>
      </c>
      <c r="H20" s="3" t="s">
        <v>142</v>
      </c>
      <c r="I20" s="3" t="s">
        <v>108</v>
      </c>
      <c r="J20" s="3" t="s">
        <v>232</v>
      </c>
      <c r="K20" s="3" t="s">
        <v>233</v>
      </c>
      <c r="L20" s="3" t="s">
        <v>8</v>
      </c>
      <c r="M20" s="3" t="s">
        <v>145</v>
      </c>
      <c r="N20" s="3" t="s">
        <v>171</v>
      </c>
      <c r="O20" s="3" t="s">
        <v>8</v>
      </c>
      <c r="P20" s="3" t="s">
        <v>8</v>
      </c>
      <c r="Q20" s="3" t="s">
        <v>16</v>
      </c>
      <c r="R20" s="3" t="s">
        <v>8</v>
      </c>
      <c r="S20" s="3" t="s">
        <v>8</v>
      </c>
      <c r="T20" s="3" t="s">
        <v>8</v>
      </c>
      <c r="U20" s="3" t="s">
        <v>8</v>
      </c>
      <c r="V20" s="3" t="s">
        <v>16</v>
      </c>
      <c r="W20" s="3" t="s">
        <v>198</v>
      </c>
      <c r="X20" s="3" t="s">
        <v>125</v>
      </c>
      <c r="Y20" s="3" t="s">
        <v>183</v>
      </c>
      <c r="Z20" s="3" t="s">
        <v>184</v>
      </c>
      <c r="AA20" s="3" t="s">
        <v>148</v>
      </c>
      <c r="AB20" s="3" t="s">
        <v>14</v>
      </c>
      <c r="AC20" s="3" t="s">
        <v>20</v>
      </c>
      <c r="AD20" s="3" t="s">
        <v>8</v>
      </c>
      <c r="AE20" s="3" t="s">
        <v>8</v>
      </c>
      <c r="AF20" s="3" t="s">
        <v>26</v>
      </c>
      <c r="AG20" s="3" t="s">
        <v>26</v>
      </c>
      <c r="AH20" s="3" t="s">
        <v>20</v>
      </c>
      <c r="AI20" s="3" t="s">
        <v>20</v>
      </c>
      <c r="AJ20" s="3" t="s">
        <v>224</v>
      </c>
      <c r="AK20" s="3" t="s">
        <v>152</v>
      </c>
      <c r="AL20" s="3" t="s">
        <v>151</v>
      </c>
      <c r="AM20" s="3" t="s">
        <v>152</v>
      </c>
      <c r="AN20" s="3" t="s">
        <v>123</v>
      </c>
      <c r="AO20" s="3" t="s">
        <v>173</v>
      </c>
      <c r="AP20" s="3" t="s">
        <v>23</v>
      </c>
      <c r="AQ20" s="3" t="s">
        <v>125</v>
      </c>
      <c r="AR20" s="3" t="s">
        <v>261</v>
      </c>
      <c r="AS20" s="3" t="s">
        <v>126</v>
      </c>
      <c r="AT20" s="3" t="s">
        <v>26</v>
      </c>
      <c r="AU20" s="3" t="s">
        <v>218</v>
      </c>
      <c r="AV20" s="3" t="s">
        <v>127</v>
      </c>
      <c r="AW20" s="3" t="s">
        <v>156</v>
      </c>
      <c r="AX20" s="3" t="s">
        <v>201</v>
      </c>
      <c r="AY20" s="3" t="s">
        <v>15</v>
      </c>
      <c r="AZ20" s="3" t="s">
        <v>202</v>
      </c>
      <c r="BA20" s="3" t="s">
        <v>159</v>
      </c>
      <c r="BB20" s="3" t="s">
        <v>152</v>
      </c>
      <c r="BC20" s="3" t="s">
        <v>161</v>
      </c>
      <c r="BD20" s="3" t="s">
        <v>177</v>
      </c>
      <c r="BE20" s="3" t="s">
        <v>23</v>
      </c>
      <c r="BF20" s="3" t="s">
        <v>23</v>
      </c>
      <c r="BG20" s="3" t="s">
        <v>134</v>
      </c>
      <c r="BH20" s="3" t="s">
        <v>16</v>
      </c>
      <c r="BI20" s="3" t="s">
        <v>163</v>
      </c>
      <c r="BJ20" s="3" t="s">
        <v>20</v>
      </c>
      <c r="BK20" s="3" t="s">
        <v>26</v>
      </c>
      <c r="BL20" s="3" t="s">
        <v>27</v>
      </c>
      <c r="BM20" s="3" t="s">
        <v>262</v>
      </c>
      <c r="BN20" s="3" t="s">
        <v>16</v>
      </c>
      <c r="BO20" s="3" t="s">
        <v>20</v>
      </c>
      <c r="BP20" s="3" t="s">
        <v>15</v>
      </c>
      <c r="BQ20" s="3" t="s">
        <v>20</v>
      </c>
      <c r="BR20" s="3" t="s">
        <v>165</v>
      </c>
      <c r="BS20" s="3" t="s">
        <v>29</v>
      </c>
      <c r="BT20" s="3" t="s">
        <v>263</v>
      </c>
    </row>
    <row r="21" spans="1:72">
      <c r="A21" s="3">
        <v>19</v>
      </c>
      <c r="B21" s="3">
        <v>46184.930104166699</v>
      </c>
      <c r="C21" s="3">
        <v>46184.934050925898</v>
      </c>
      <c r="D21" s="3" t="s">
        <v>104</v>
      </c>
      <c r="E21" s="3"/>
      <c r="F21" s="3" t="s">
        <v>264</v>
      </c>
      <c r="G21" s="3" t="s">
        <v>246</v>
      </c>
      <c r="H21" s="3" t="s">
        <v>213</v>
      </c>
      <c r="I21" s="3" t="s">
        <v>109</v>
      </c>
      <c r="J21" s="3" t="s">
        <v>5</v>
      </c>
      <c r="K21" s="3" t="s">
        <v>109</v>
      </c>
      <c r="L21" s="3" t="s">
        <v>8</v>
      </c>
      <c r="M21" s="3" t="s">
        <v>265</v>
      </c>
      <c r="N21" s="3" t="s">
        <v>173</v>
      </c>
      <c r="O21" s="3" t="s">
        <v>8</v>
      </c>
      <c r="P21" s="3" t="s">
        <v>8</v>
      </c>
      <c r="Q21" s="3" t="s">
        <v>15</v>
      </c>
      <c r="R21" s="3" t="s">
        <v>15</v>
      </c>
      <c r="S21" s="3" t="s">
        <v>15</v>
      </c>
      <c r="T21" s="3" t="s">
        <v>16</v>
      </c>
      <c r="U21" s="3" t="s">
        <v>172</v>
      </c>
      <c r="V21" s="3" t="s">
        <v>16</v>
      </c>
      <c r="W21" s="3" t="s">
        <v>112</v>
      </c>
      <c r="X21" s="3" t="s">
        <v>125</v>
      </c>
      <c r="Y21" s="3" t="s">
        <v>114</v>
      </c>
      <c r="Z21" s="3" t="s">
        <v>184</v>
      </c>
      <c r="AA21" s="3" t="s">
        <v>148</v>
      </c>
      <c r="AB21" s="3" t="s">
        <v>117</v>
      </c>
      <c r="AC21" s="3" t="s">
        <v>20</v>
      </c>
      <c r="AD21" s="3" t="s">
        <v>172</v>
      </c>
      <c r="AE21" s="3" t="s">
        <v>15</v>
      </c>
      <c r="AF21" s="3" t="s">
        <v>26</v>
      </c>
      <c r="AG21" s="3" t="s">
        <v>26</v>
      </c>
      <c r="AH21" s="3" t="s">
        <v>20</v>
      </c>
      <c r="AI21" s="3" t="s">
        <v>26</v>
      </c>
      <c r="AJ21" s="3" t="s">
        <v>149</v>
      </c>
      <c r="AK21" s="3" t="s">
        <v>109</v>
      </c>
      <c r="AL21" s="3" t="s">
        <v>151</v>
      </c>
      <c r="AM21" s="3" t="s">
        <v>152</v>
      </c>
      <c r="AN21" s="3" t="s">
        <v>109</v>
      </c>
      <c r="AO21" s="3" t="s">
        <v>124</v>
      </c>
      <c r="AP21" s="3" t="s">
        <v>125</v>
      </c>
      <c r="AQ21" s="3" t="s">
        <v>24</v>
      </c>
      <c r="AR21" s="3" t="s">
        <v>125</v>
      </c>
      <c r="AS21" s="3" t="s">
        <v>126</v>
      </c>
      <c r="AT21" s="3" t="s">
        <v>20</v>
      </c>
      <c r="AU21" s="3" t="s">
        <v>218</v>
      </c>
      <c r="AV21" s="3" t="s">
        <v>176</v>
      </c>
      <c r="AW21" s="3" t="s">
        <v>227</v>
      </c>
      <c r="AX21" s="3" t="s">
        <v>207</v>
      </c>
      <c r="AY21" s="3" t="s">
        <v>8</v>
      </c>
      <c r="AZ21" s="3" t="s">
        <v>202</v>
      </c>
      <c r="BA21" s="3"/>
      <c r="BB21" s="3" t="s">
        <v>152</v>
      </c>
      <c r="BC21" s="3" t="s">
        <v>133</v>
      </c>
      <c r="BD21" s="3" t="s">
        <v>177</v>
      </c>
      <c r="BE21" s="3" t="s">
        <v>23</v>
      </c>
      <c r="BF21" s="3" t="s">
        <v>134</v>
      </c>
      <c r="BG21" s="3" t="s">
        <v>24</v>
      </c>
      <c r="BH21" s="3" t="s">
        <v>266</v>
      </c>
      <c r="BI21" s="3" t="s">
        <v>163</v>
      </c>
      <c r="BJ21" s="3" t="s">
        <v>20</v>
      </c>
      <c r="BK21" s="3" t="s">
        <v>20</v>
      </c>
      <c r="BL21" s="3" t="s">
        <v>27</v>
      </c>
      <c r="BM21" s="3" t="s">
        <v>138</v>
      </c>
      <c r="BN21" s="3" t="s">
        <v>16</v>
      </c>
      <c r="BO21" s="3" t="s">
        <v>26</v>
      </c>
      <c r="BP21" s="3" t="s">
        <v>16</v>
      </c>
      <c r="BQ21" s="3" t="s">
        <v>20</v>
      </c>
      <c r="BR21" s="3" t="s">
        <v>165</v>
      </c>
      <c r="BS21" s="3" t="s">
        <v>8</v>
      </c>
      <c r="BT21" s="3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topLeftCell="A22" workbookViewId="0">
      <selection activeCell="C64" sqref="C64"/>
    </sheetView>
  </sheetViews>
  <sheetFormatPr baseColWidth="10" defaultColWidth="9" defaultRowHeight="14.25"/>
  <cols>
    <col min="1" max="1" width="14" customWidth="1"/>
    <col min="2" max="2" width="45" customWidth="1"/>
    <col min="3" max="3" width="20" customWidth="1"/>
    <col min="4" max="4" width="32" customWidth="1"/>
    <col min="5" max="5" width="55" customWidth="1"/>
  </cols>
  <sheetData>
    <row r="1" spans="1:5" ht="30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</row>
    <row r="2" spans="1:5">
      <c r="A2" s="3" t="s">
        <v>272</v>
      </c>
      <c r="B2" s="3" t="s">
        <v>37</v>
      </c>
      <c r="C2" s="3">
        <v>7</v>
      </c>
      <c r="D2" s="3" t="s">
        <v>1</v>
      </c>
      <c r="E2" s="3" t="s">
        <v>273</v>
      </c>
    </row>
    <row r="3" spans="1:5" ht="28.5">
      <c r="A3" s="3" t="s">
        <v>274</v>
      </c>
      <c r="B3" s="3" t="s">
        <v>39</v>
      </c>
      <c r="C3" s="3">
        <v>16</v>
      </c>
      <c r="D3" s="3" t="s">
        <v>2</v>
      </c>
      <c r="E3" s="3" t="s">
        <v>275</v>
      </c>
    </row>
    <row r="4" spans="1:5" ht="28.5">
      <c r="A4" s="3" t="s">
        <v>276</v>
      </c>
      <c r="B4" s="3" t="s">
        <v>40</v>
      </c>
      <c r="C4" s="3" t="s">
        <v>3</v>
      </c>
      <c r="D4" s="3" t="s">
        <v>4</v>
      </c>
      <c r="E4" s="3" t="s">
        <v>277</v>
      </c>
    </row>
    <row r="5" spans="1:5" ht="28.5">
      <c r="A5" s="3" t="s">
        <v>278</v>
      </c>
      <c r="B5" s="3" t="s">
        <v>41</v>
      </c>
      <c r="C5" s="3" t="s">
        <v>5</v>
      </c>
      <c r="D5" s="3" t="s">
        <v>5</v>
      </c>
      <c r="E5" s="3" t="s">
        <v>273</v>
      </c>
    </row>
    <row r="6" spans="1:5" ht="28.5">
      <c r="A6" s="3" t="s">
        <v>105</v>
      </c>
      <c r="B6" s="3" t="s">
        <v>42</v>
      </c>
      <c r="C6" s="3" t="s">
        <v>6</v>
      </c>
      <c r="D6" s="3" t="s">
        <v>7</v>
      </c>
      <c r="E6" s="3" t="s">
        <v>279</v>
      </c>
    </row>
    <row r="7" spans="1:5">
      <c r="A7" s="3" t="s">
        <v>280</v>
      </c>
      <c r="B7" s="3" t="s">
        <v>43</v>
      </c>
      <c r="C7" s="3">
        <v>2</v>
      </c>
      <c r="D7" s="3" t="s">
        <v>8</v>
      </c>
      <c r="E7" s="3" t="s">
        <v>273</v>
      </c>
    </row>
    <row r="8" spans="1:5" ht="28.5">
      <c r="A8" s="3" t="s">
        <v>281</v>
      </c>
      <c r="B8" s="3" t="s">
        <v>44</v>
      </c>
      <c r="C8" s="3">
        <v>6</v>
      </c>
      <c r="D8" s="3" t="s">
        <v>9</v>
      </c>
      <c r="E8" s="3" t="s">
        <v>275</v>
      </c>
    </row>
    <row r="9" spans="1:5" ht="28.5">
      <c r="A9" s="3" t="s">
        <v>282</v>
      </c>
      <c r="B9" s="3" t="s">
        <v>45</v>
      </c>
      <c r="C9" s="3">
        <v>215</v>
      </c>
      <c r="D9" s="3" t="s">
        <v>10</v>
      </c>
      <c r="E9" s="3" t="s">
        <v>275</v>
      </c>
    </row>
    <row r="10" spans="1:5" ht="28.5">
      <c r="A10" s="3" t="s">
        <v>283</v>
      </c>
      <c r="B10" s="3" t="s">
        <v>46</v>
      </c>
      <c r="C10" s="3" t="s">
        <v>11</v>
      </c>
      <c r="D10" s="3" t="s">
        <v>12</v>
      </c>
      <c r="E10" s="3" t="s">
        <v>273</v>
      </c>
    </row>
    <row r="11" spans="1:5" ht="28.5">
      <c r="A11" s="3" t="s">
        <v>284</v>
      </c>
      <c r="B11" s="3" t="s">
        <v>47</v>
      </c>
      <c r="C11" s="3">
        <v>12</v>
      </c>
      <c r="D11" s="3" t="s">
        <v>13</v>
      </c>
      <c r="E11" s="3" t="s">
        <v>275</v>
      </c>
    </row>
    <row r="12" spans="1:5" ht="28.5">
      <c r="A12" s="3" t="s">
        <v>285</v>
      </c>
      <c r="B12" s="3" t="s">
        <v>48</v>
      </c>
      <c r="C12" s="3">
        <v>4</v>
      </c>
      <c r="D12" s="3" t="s">
        <v>14</v>
      </c>
      <c r="E12" s="3" t="s">
        <v>273</v>
      </c>
    </row>
    <row r="13" spans="1:5" ht="28.5">
      <c r="A13" s="3" t="s">
        <v>286</v>
      </c>
      <c r="B13" s="3" t="s">
        <v>49</v>
      </c>
      <c r="C13" s="3">
        <v>4</v>
      </c>
      <c r="D13" s="3" t="s">
        <v>14</v>
      </c>
      <c r="E13" s="3" t="s">
        <v>273</v>
      </c>
    </row>
    <row r="14" spans="1:5" ht="28.5">
      <c r="A14" s="3" t="s">
        <v>287</v>
      </c>
      <c r="B14" s="3" t="s">
        <v>50</v>
      </c>
      <c r="C14" s="3">
        <v>3</v>
      </c>
      <c r="D14" s="3" t="s">
        <v>15</v>
      </c>
      <c r="E14" s="3" t="s">
        <v>273</v>
      </c>
    </row>
    <row r="15" spans="1:5" ht="28.5">
      <c r="A15" s="3" t="s">
        <v>288</v>
      </c>
      <c r="B15" s="3" t="s">
        <v>51</v>
      </c>
      <c r="C15" s="3">
        <v>3</v>
      </c>
      <c r="D15" s="3" t="s">
        <v>15</v>
      </c>
      <c r="E15" s="3" t="s">
        <v>273</v>
      </c>
    </row>
    <row r="16" spans="1:5" ht="28.5">
      <c r="A16" s="3" t="s">
        <v>289</v>
      </c>
      <c r="B16" s="3" t="s">
        <v>52</v>
      </c>
      <c r="C16" s="3">
        <v>1</v>
      </c>
      <c r="D16" s="3" t="s">
        <v>16</v>
      </c>
      <c r="E16" s="3" t="s">
        <v>273</v>
      </c>
    </row>
    <row r="17" spans="1:5" ht="28.5">
      <c r="A17" s="3" t="s">
        <v>290</v>
      </c>
      <c r="B17" s="3" t="s">
        <v>53</v>
      </c>
      <c r="C17" s="3">
        <v>2</v>
      </c>
      <c r="D17" s="3" t="s">
        <v>8</v>
      </c>
      <c r="E17" s="3" t="s">
        <v>273</v>
      </c>
    </row>
    <row r="18" spans="1:5">
      <c r="A18" s="3" t="s">
        <v>291</v>
      </c>
      <c r="B18" s="3" t="s">
        <v>54</v>
      </c>
      <c r="C18" s="3"/>
      <c r="D18" s="3"/>
      <c r="E18" s="3" t="s">
        <v>292</v>
      </c>
    </row>
    <row r="19" spans="1:5">
      <c r="A19" s="3" t="s">
        <v>293</v>
      </c>
      <c r="B19" s="3" t="s">
        <v>55</v>
      </c>
      <c r="C19" s="3"/>
      <c r="D19" s="3"/>
      <c r="E19" s="3" t="s">
        <v>292</v>
      </c>
    </row>
    <row r="20" spans="1:5">
      <c r="A20" s="3" t="s">
        <v>294</v>
      </c>
      <c r="B20" s="3" t="s">
        <v>56</v>
      </c>
      <c r="C20" s="3"/>
      <c r="D20" s="3"/>
      <c r="E20" s="3" t="s">
        <v>292</v>
      </c>
    </row>
    <row r="21" spans="1:5" ht="28.5">
      <c r="A21" s="3" t="s">
        <v>295</v>
      </c>
      <c r="B21" s="3" t="s">
        <v>57</v>
      </c>
      <c r="C21" s="3"/>
      <c r="D21" s="3"/>
      <c r="E21" s="3" t="s">
        <v>292</v>
      </c>
    </row>
    <row r="22" spans="1:5" ht="28.5">
      <c r="A22" s="3" t="s">
        <v>296</v>
      </c>
      <c r="B22" s="3" t="s">
        <v>58</v>
      </c>
      <c r="C22" s="3" t="s">
        <v>18</v>
      </c>
      <c r="D22" s="3" t="s">
        <v>19</v>
      </c>
      <c r="E22" s="3" t="s">
        <v>297</v>
      </c>
    </row>
    <row r="23" spans="1:5">
      <c r="A23" s="3" t="s">
        <v>298</v>
      </c>
      <c r="B23" s="3" t="s">
        <v>59</v>
      </c>
      <c r="C23" s="3"/>
      <c r="D23" s="3"/>
      <c r="E23" s="3" t="s">
        <v>292</v>
      </c>
    </row>
    <row r="24" spans="1:5">
      <c r="A24" s="3" t="s">
        <v>299</v>
      </c>
      <c r="B24" s="3" t="s">
        <v>60</v>
      </c>
      <c r="C24" s="3"/>
      <c r="D24" s="3"/>
      <c r="E24" s="3" t="s">
        <v>292</v>
      </c>
    </row>
    <row r="25" spans="1:5">
      <c r="A25" s="3" t="s">
        <v>300</v>
      </c>
      <c r="B25" s="3" t="s">
        <v>61</v>
      </c>
      <c r="C25" s="3"/>
      <c r="D25" s="3"/>
      <c r="E25" s="3" t="s">
        <v>292</v>
      </c>
    </row>
    <row r="26" spans="1:5">
      <c r="A26" s="3" t="s">
        <v>301</v>
      </c>
      <c r="B26" s="3" t="s">
        <v>62</v>
      </c>
      <c r="C26" s="3"/>
      <c r="D26" s="3"/>
      <c r="E26" s="3" t="s">
        <v>292</v>
      </c>
    </row>
    <row r="27" spans="1:5">
      <c r="A27" s="3" t="s">
        <v>302</v>
      </c>
      <c r="B27" s="3" t="s">
        <v>63</v>
      </c>
      <c r="C27" s="3"/>
      <c r="D27" s="3"/>
      <c r="E27" s="3" t="s">
        <v>292</v>
      </c>
    </row>
    <row r="28" spans="1:5" ht="28.5">
      <c r="A28" s="3" t="s">
        <v>303</v>
      </c>
      <c r="B28" s="3" t="s">
        <v>64</v>
      </c>
      <c r="C28" s="3"/>
      <c r="D28" s="3"/>
      <c r="E28" s="3" t="s">
        <v>292</v>
      </c>
    </row>
    <row r="29" spans="1:5" ht="28.5">
      <c r="A29" s="3" t="s">
        <v>304</v>
      </c>
      <c r="B29" s="3" t="s">
        <v>65</v>
      </c>
      <c r="C29" s="3"/>
      <c r="D29" s="3"/>
      <c r="E29" s="3" t="s">
        <v>292</v>
      </c>
    </row>
    <row r="30" spans="1:5" ht="28.5">
      <c r="A30" s="3" t="s">
        <v>305</v>
      </c>
      <c r="B30" s="3" t="s">
        <v>66</v>
      </c>
      <c r="C30" s="3" t="s">
        <v>20</v>
      </c>
      <c r="D30" s="3" t="s">
        <v>20</v>
      </c>
      <c r="E30" s="3" t="s">
        <v>273</v>
      </c>
    </row>
    <row r="31" spans="1:5">
      <c r="A31" s="3" t="s">
        <v>306</v>
      </c>
      <c r="B31" s="3" t="s">
        <v>67</v>
      </c>
      <c r="C31" s="3"/>
      <c r="D31" s="3"/>
      <c r="E31" s="3" t="s">
        <v>292</v>
      </c>
    </row>
    <row r="32" spans="1:5">
      <c r="A32" s="3" t="s">
        <v>307</v>
      </c>
      <c r="B32" s="3" t="s">
        <v>68</v>
      </c>
      <c r="C32" s="3"/>
      <c r="D32" s="3"/>
      <c r="E32" s="3" t="s">
        <v>292</v>
      </c>
    </row>
    <row r="33" spans="1:5">
      <c r="A33" s="3" t="s">
        <v>308</v>
      </c>
      <c r="B33" s="3" t="s">
        <v>69</v>
      </c>
      <c r="C33" s="3"/>
      <c r="D33" s="3"/>
      <c r="E33" s="3" t="s">
        <v>292</v>
      </c>
    </row>
    <row r="34" spans="1:5">
      <c r="A34" s="3" t="s">
        <v>309</v>
      </c>
      <c r="B34" s="3" t="s">
        <v>70</v>
      </c>
      <c r="C34" s="3"/>
      <c r="D34" s="3"/>
      <c r="E34" s="3" t="s">
        <v>292</v>
      </c>
    </row>
    <row r="35" spans="1:5">
      <c r="A35" s="3" t="s">
        <v>310</v>
      </c>
      <c r="B35" s="3" t="s">
        <v>71</v>
      </c>
      <c r="C35" s="3"/>
      <c r="D35" s="3"/>
      <c r="E35" s="3" t="s">
        <v>292</v>
      </c>
    </row>
    <row r="36" spans="1:5">
      <c r="A36" s="3" t="s">
        <v>311</v>
      </c>
      <c r="B36" s="3" t="s">
        <v>72</v>
      </c>
      <c r="C36" s="3"/>
      <c r="D36" s="3"/>
      <c r="E36" s="3" t="s">
        <v>292</v>
      </c>
    </row>
    <row r="37" spans="1:5">
      <c r="A37" s="3" t="s">
        <v>312</v>
      </c>
      <c r="B37" s="3" t="s">
        <v>73</v>
      </c>
      <c r="C37" s="3"/>
      <c r="D37" s="3"/>
      <c r="E37" s="3" t="s">
        <v>292</v>
      </c>
    </row>
    <row r="38" spans="1:5">
      <c r="A38" s="3" t="s">
        <v>313</v>
      </c>
      <c r="B38" s="3" t="s">
        <v>74</v>
      </c>
      <c r="C38" s="3"/>
      <c r="D38" s="3"/>
      <c r="E38" s="3" t="s">
        <v>292</v>
      </c>
    </row>
    <row r="39" spans="1:5">
      <c r="A39" s="3" t="s">
        <v>314</v>
      </c>
      <c r="B39" s="3" t="s">
        <v>75</v>
      </c>
      <c r="C39" s="3"/>
      <c r="D39" s="3"/>
      <c r="E39" s="3" t="s">
        <v>292</v>
      </c>
    </row>
    <row r="40" spans="1:5">
      <c r="A40" s="3" t="s">
        <v>315</v>
      </c>
      <c r="B40" s="3" t="s">
        <v>76</v>
      </c>
      <c r="C40" s="3"/>
      <c r="D40" s="3"/>
      <c r="E40" s="3" t="s">
        <v>292</v>
      </c>
    </row>
    <row r="41" spans="1:5">
      <c r="A41" s="3" t="s">
        <v>316</v>
      </c>
      <c r="B41" s="3" t="s">
        <v>77</v>
      </c>
      <c r="C41" s="3"/>
      <c r="D41" s="3"/>
      <c r="E41" s="3" t="s">
        <v>292</v>
      </c>
    </row>
    <row r="42" spans="1:5">
      <c r="A42" s="3" t="s">
        <v>317</v>
      </c>
      <c r="B42" s="3" t="s">
        <v>78</v>
      </c>
      <c r="C42" s="3"/>
      <c r="D42" s="3"/>
      <c r="E42" s="3" t="s">
        <v>292</v>
      </c>
    </row>
    <row r="43" spans="1:5">
      <c r="A43" s="3" t="s">
        <v>318</v>
      </c>
      <c r="B43" s="3" t="s">
        <v>79</v>
      </c>
      <c r="C43" s="3"/>
      <c r="D43" s="3"/>
      <c r="E43" s="3" t="s">
        <v>292</v>
      </c>
    </row>
    <row r="44" spans="1:5">
      <c r="A44" s="3" t="s">
        <v>319</v>
      </c>
      <c r="B44" s="3" t="s">
        <v>80</v>
      </c>
      <c r="C44" s="3"/>
      <c r="D44" s="3"/>
      <c r="E44" s="3" t="s">
        <v>292</v>
      </c>
    </row>
    <row r="45" spans="1:5">
      <c r="A45" s="3" t="s">
        <v>320</v>
      </c>
      <c r="B45" s="3" t="s">
        <v>81</v>
      </c>
      <c r="C45" s="3"/>
      <c r="D45" s="3"/>
      <c r="E45" s="3" t="s">
        <v>292</v>
      </c>
    </row>
    <row r="46" spans="1:5">
      <c r="A46" s="3" t="s">
        <v>321</v>
      </c>
      <c r="B46" s="3" t="s">
        <v>82</v>
      </c>
      <c r="C46" s="3"/>
      <c r="D46" s="3"/>
      <c r="E46" s="3" t="s">
        <v>292</v>
      </c>
    </row>
    <row r="47" spans="1:5">
      <c r="A47" s="3" t="s">
        <v>322</v>
      </c>
      <c r="B47" s="3" t="s">
        <v>83</v>
      </c>
      <c r="C47" s="3" t="s">
        <v>21</v>
      </c>
      <c r="D47" s="3" t="s">
        <v>21</v>
      </c>
      <c r="E47" s="3" t="s">
        <v>273</v>
      </c>
    </row>
    <row r="48" spans="1:5">
      <c r="A48" s="3" t="s">
        <v>323</v>
      </c>
      <c r="B48" s="3" t="s">
        <v>84</v>
      </c>
      <c r="C48" s="3"/>
      <c r="D48" s="3"/>
      <c r="E48" s="3" t="s">
        <v>292</v>
      </c>
    </row>
    <row r="49" spans="1:5" ht="28.5">
      <c r="A49" s="3" t="s">
        <v>324</v>
      </c>
      <c r="B49" s="3" t="s">
        <v>85</v>
      </c>
      <c r="C49" s="3"/>
      <c r="D49" s="3"/>
      <c r="E49" s="3" t="s">
        <v>292</v>
      </c>
    </row>
    <row r="50" spans="1:5">
      <c r="A50" s="3" t="s">
        <v>325</v>
      </c>
      <c r="B50" s="3" t="s">
        <v>86</v>
      </c>
      <c r="C50" s="3" t="s">
        <v>22</v>
      </c>
      <c r="D50" s="3" t="s">
        <v>22</v>
      </c>
      <c r="E50" s="3" t="s">
        <v>273</v>
      </c>
    </row>
    <row r="51" spans="1:5">
      <c r="A51" s="3" t="s">
        <v>326</v>
      </c>
      <c r="B51" s="3" t="s">
        <v>87</v>
      </c>
      <c r="C51" s="3"/>
      <c r="D51" s="3"/>
      <c r="E51" s="3" t="s">
        <v>292</v>
      </c>
    </row>
    <row r="52" spans="1:5">
      <c r="A52" s="3" t="s">
        <v>327</v>
      </c>
      <c r="B52" s="3" t="s">
        <v>88</v>
      </c>
      <c r="C52" s="3" t="s">
        <v>23</v>
      </c>
      <c r="D52" s="3" t="s">
        <v>23</v>
      </c>
      <c r="E52" s="3" t="s">
        <v>273</v>
      </c>
    </row>
    <row r="53" spans="1:5">
      <c r="A53" s="3" t="s">
        <v>328</v>
      </c>
      <c r="B53" s="3" t="s">
        <v>89</v>
      </c>
      <c r="C53" s="3" t="s">
        <v>23</v>
      </c>
      <c r="D53" s="3" t="s">
        <v>23</v>
      </c>
      <c r="E53" s="3" t="s">
        <v>273</v>
      </c>
    </row>
    <row r="54" spans="1:5">
      <c r="A54" s="3" t="s">
        <v>329</v>
      </c>
      <c r="B54" s="3" t="s">
        <v>90</v>
      </c>
      <c r="C54" s="3" t="s">
        <v>24</v>
      </c>
      <c r="D54" s="3" t="s">
        <v>24</v>
      </c>
      <c r="E54" s="3" t="s">
        <v>273</v>
      </c>
    </row>
    <row r="55" spans="1:5">
      <c r="A55" s="3" t="s">
        <v>330</v>
      </c>
      <c r="B55" s="3" t="s">
        <v>91</v>
      </c>
      <c r="C55" s="3"/>
      <c r="D55" s="3"/>
      <c r="E55" s="3" t="s">
        <v>292</v>
      </c>
    </row>
    <row r="56" spans="1:5">
      <c r="A56" s="3" t="s">
        <v>331</v>
      </c>
      <c r="B56" s="3" t="s">
        <v>92</v>
      </c>
      <c r="C56" s="3" t="s">
        <v>25</v>
      </c>
      <c r="D56" s="3" t="s">
        <v>25</v>
      </c>
      <c r="E56" s="3" t="s">
        <v>273</v>
      </c>
    </row>
    <row r="57" spans="1:5">
      <c r="A57" s="3" t="s">
        <v>332</v>
      </c>
      <c r="B57" s="3" t="s">
        <v>93</v>
      </c>
      <c r="C57" s="3"/>
      <c r="D57" s="3"/>
      <c r="E57" s="3" t="s">
        <v>292</v>
      </c>
    </row>
    <row r="58" spans="1:5" ht="28.5">
      <c r="A58" s="3" t="s">
        <v>333</v>
      </c>
      <c r="B58" s="3" t="s">
        <v>94</v>
      </c>
      <c r="C58" s="3" t="s">
        <v>26</v>
      </c>
      <c r="D58" s="3" t="s">
        <v>26</v>
      </c>
      <c r="E58" s="3" t="s">
        <v>273</v>
      </c>
    </row>
    <row r="59" spans="1:5">
      <c r="A59" s="3" t="s">
        <v>334</v>
      </c>
      <c r="B59" s="3" t="s">
        <v>95</v>
      </c>
      <c r="C59" s="3" t="s">
        <v>27</v>
      </c>
      <c r="D59" s="3" t="s">
        <v>27</v>
      </c>
      <c r="E59" s="3" t="s">
        <v>273</v>
      </c>
    </row>
    <row r="60" spans="1:5">
      <c r="A60" s="3" t="s">
        <v>335</v>
      </c>
      <c r="B60" s="3" t="s">
        <v>96</v>
      </c>
      <c r="C60" s="3"/>
      <c r="D60" s="3"/>
      <c r="E60" s="3" t="s">
        <v>292</v>
      </c>
    </row>
    <row r="61" spans="1:5">
      <c r="A61" s="3" t="s">
        <v>336</v>
      </c>
      <c r="B61" s="3" t="s">
        <v>97</v>
      </c>
      <c r="C61" s="3"/>
      <c r="D61" s="3"/>
      <c r="E61" s="3" t="s">
        <v>292</v>
      </c>
    </row>
    <row r="62" spans="1:5">
      <c r="A62" s="3" t="s">
        <v>337</v>
      </c>
      <c r="B62" s="3" t="s">
        <v>98</v>
      </c>
      <c r="C62" s="3" t="s">
        <v>20</v>
      </c>
      <c r="D62" s="3" t="s">
        <v>20</v>
      </c>
      <c r="E62" s="3" t="s">
        <v>292</v>
      </c>
    </row>
    <row r="63" spans="1:5">
      <c r="A63" s="3" t="s">
        <v>338</v>
      </c>
      <c r="B63" s="3" t="s">
        <v>99</v>
      </c>
      <c r="C63" s="3"/>
      <c r="D63" s="3"/>
      <c r="E63" s="3" t="s">
        <v>292</v>
      </c>
    </row>
    <row r="64" spans="1:5">
      <c r="A64" s="3" t="s">
        <v>339</v>
      </c>
      <c r="B64" s="3" t="s">
        <v>100</v>
      </c>
      <c r="C64" s="3"/>
      <c r="D64" s="3"/>
      <c r="E64" s="3" t="s">
        <v>292</v>
      </c>
    </row>
    <row r="65" spans="1:5">
      <c r="A65" s="3" t="s">
        <v>340</v>
      </c>
      <c r="B65" s="3" t="s">
        <v>101</v>
      </c>
      <c r="C65" s="3" t="s">
        <v>28</v>
      </c>
      <c r="D65" s="3" t="s">
        <v>28</v>
      </c>
      <c r="E65" s="3" t="s">
        <v>273</v>
      </c>
    </row>
    <row r="66" spans="1:5">
      <c r="A66" s="3" t="s">
        <v>341</v>
      </c>
      <c r="B66" s="3" t="s">
        <v>102</v>
      </c>
      <c r="C66" s="3" t="s">
        <v>29</v>
      </c>
      <c r="D66" s="3" t="s">
        <v>29</v>
      </c>
      <c r="E66" s="3" t="s">
        <v>273</v>
      </c>
    </row>
    <row r="67" spans="1:5">
      <c r="A67" s="3" t="s">
        <v>342</v>
      </c>
      <c r="B67" s="3" t="s">
        <v>103</v>
      </c>
      <c r="C67" s="3"/>
      <c r="D67" s="3"/>
      <c r="E67" s="3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baseColWidth="10" defaultColWidth="9" defaultRowHeight="14.25"/>
  <cols>
    <col min="1" max="1" width="28" customWidth="1"/>
    <col min="2" max="2" width="14" customWidth="1"/>
  </cols>
  <sheetData>
    <row r="1" spans="1:2" ht="15">
      <c r="A1" s="6" t="s">
        <v>34</v>
      </c>
      <c r="B1" s="6" t="s">
        <v>36</v>
      </c>
    </row>
    <row r="2" spans="1:2">
      <c r="A2" t="str">
        <f>IF(Poengsatt!F3&lt;&gt;"",Poengsatt!F3,IF(Poengsatt!E3&lt;&gt;"",Poengsatt!E3,Poengsatt!A3))</f>
        <v>Mads Conradi</v>
      </c>
      <c r="B2" s="7">
        <f>Poengsatt!G3</f>
        <v>11</v>
      </c>
    </row>
    <row r="3" spans="1:2">
      <c r="A3" t="str">
        <f>IF(Poengsatt!F4&lt;&gt;"",Poengsatt!F4,IF(Poengsatt!E4&lt;&gt;"",Poengsatt!E4,Poengsatt!A4))</f>
        <v>Jonas Hagen</v>
      </c>
      <c r="B3" s="7">
        <f>Poengsatt!G4</f>
        <v>7</v>
      </c>
    </row>
    <row r="4" spans="1:2">
      <c r="A4" t="str">
        <f>IF(Poengsatt!F5&lt;&gt;"",Poengsatt!F5,IF(Poengsatt!E5&lt;&gt;"",Poengsatt!E5,Poengsatt!A5))</f>
        <v>Jarle</v>
      </c>
      <c r="B4" s="7">
        <f>Poengsatt!G5</f>
        <v>10</v>
      </c>
    </row>
    <row r="5" spans="1:2">
      <c r="A5" t="str">
        <f>IF(Poengsatt!F6&lt;&gt;"",Poengsatt!F6,IF(Poengsatt!E6&lt;&gt;"",Poengsatt!E6,Poengsatt!A6))</f>
        <v>El Jefe</v>
      </c>
      <c r="B5" s="7">
        <f>Poengsatt!G6</f>
        <v>14</v>
      </c>
    </row>
    <row r="6" spans="1:2">
      <c r="A6" t="str">
        <f>IF(Poengsatt!F7&lt;&gt;"",Poengsatt!F7,IF(Poengsatt!E7&lt;&gt;"",Poengsatt!E7,Poengsatt!A7))</f>
        <v>Joachim E-H</v>
      </c>
      <c r="B6" s="7">
        <f>Poengsatt!G7</f>
        <v>10</v>
      </c>
    </row>
    <row r="7" spans="1:2">
      <c r="A7" t="str">
        <f>IF(Poengsatt!F8&lt;&gt;"",Poengsatt!F8,IF(Poengsatt!E8&lt;&gt;"",Poengsatt!E8,Poengsatt!A8))</f>
        <v>Njord Are</v>
      </c>
      <c r="B7" s="7">
        <f>Poengsatt!G8</f>
        <v>12</v>
      </c>
    </row>
    <row r="8" spans="1:2">
      <c r="A8" t="str">
        <f>IF(Poengsatt!F9&lt;&gt;"",Poengsatt!F9,IF(Poengsatt!E9&lt;&gt;"",Poengsatt!E9,Poengsatt!A9))</f>
        <v>Brændmo</v>
      </c>
      <c r="B8" s="7">
        <f>Poengsatt!G9</f>
        <v>6</v>
      </c>
    </row>
    <row r="9" spans="1:2">
      <c r="A9" t="str">
        <f>IF(Poengsatt!F10&lt;&gt;"",Poengsatt!F10,IF(Poengsatt!E10&lt;&gt;"",Poengsatt!E10,Poengsatt!A10))</f>
        <v>Nichlas André Furu Tunes</v>
      </c>
      <c r="B9" s="7">
        <f>Poengsatt!G10</f>
        <v>9</v>
      </c>
    </row>
    <row r="10" spans="1:2">
      <c r="A10" t="str">
        <f>IF(Poengsatt!F11&lt;&gt;"",Poengsatt!F11,IF(Poengsatt!E11&lt;&gt;"",Poengsatt!E11,Poengsatt!A11))</f>
        <v>Mathias "Smultring" Langaard</v>
      </c>
      <c r="B10" s="7">
        <f>Poengsatt!G11</f>
        <v>14</v>
      </c>
    </row>
    <row r="11" spans="1:2">
      <c r="A11" t="str">
        <f>IF(Poengsatt!F12&lt;&gt;"",Poengsatt!F12,IF(Poengsatt!E12&lt;&gt;"",Poengsatt!E12,Poengsatt!A12))</f>
        <v>Dons</v>
      </c>
      <c r="B11" s="7">
        <f>Poengsatt!G12</f>
        <v>6</v>
      </c>
    </row>
    <row r="12" spans="1:2">
      <c r="A12" t="str">
        <f>IF(Poengsatt!F13&lt;&gt;"",Poengsatt!F13,IF(Poengsatt!E13&lt;&gt;"",Poengsatt!E13,Poengsatt!A13))</f>
        <v>Mathias Berge</v>
      </c>
      <c r="B12" s="7">
        <f>Poengsatt!G13</f>
        <v>12</v>
      </c>
    </row>
    <row r="13" spans="1:2">
      <c r="A13" t="str">
        <f>IF(Poengsatt!F14&lt;&gt;"",Poengsatt!F14,IF(Poengsatt!E14&lt;&gt;"",Poengsatt!E14,Poengsatt!A14))</f>
        <v>Martin Moen</v>
      </c>
      <c r="B13" s="7">
        <f>Poengsatt!G14</f>
        <v>11</v>
      </c>
    </row>
    <row r="14" spans="1:2">
      <c r="A14" t="str">
        <f>IF(Poengsatt!F15&lt;&gt;"",Poengsatt!F15,IF(Poengsatt!E15&lt;&gt;"",Poengsatt!E15,Poengsatt!A15))</f>
        <v>Karsten</v>
      </c>
      <c r="B14" s="7">
        <f>Poengsatt!G15</f>
        <v>7</v>
      </c>
    </row>
    <row r="15" spans="1:2">
      <c r="A15" t="str">
        <f>IF(Poengsatt!F16&lt;&gt;"",Poengsatt!F16,IF(Poengsatt!E16&lt;&gt;"",Poengsatt!E16,Poengsatt!A16))</f>
        <v>Zippo</v>
      </c>
      <c r="B15" s="7">
        <f>Poengsatt!G16</f>
        <v>8</v>
      </c>
    </row>
    <row r="16" spans="1:2">
      <c r="A16" t="str">
        <f>IF(Poengsatt!F17&lt;&gt;"",Poengsatt!F17,IF(Poengsatt!E17&lt;&gt;"",Poengsatt!E17,Poengsatt!A17))</f>
        <v>Robin</v>
      </c>
      <c r="B16" s="7">
        <f>Poengsatt!G17</f>
        <v>11</v>
      </c>
    </row>
    <row r="17" spans="1:2">
      <c r="A17" t="str">
        <f>IF(Poengsatt!F18&lt;&gt;"",Poengsatt!F18,IF(Poengsatt!E18&lt;&gt;"",Poengsatt!E18,Poengsatt!A18))</f>
        <v>Arvin Conradi</v>
      </c>
      <c r="B17" s="7">
        <f>Poengsatt!G18</f>
        <v>14</v>
      </c>
    </row>
    <row r="18" spans="1:2">
      <c r="A18" t="str">
        <f>IF(Poengsatt!F19&lt;&gt;"",Poengsatt!F19,IF(Poengsatt!E19&lt;&gt;"",Poengsatt!E19,Poengsatt!A19))</f>
        <v>Julie</v>
      </c>
      <c r="B18" s="7">
        <f>Poengsatt!G19</f>
        <v>10</v>
      </c>
    </row>
    <row r="19" spans="1:2">
      <c r="A19" t="str">
        <f>IF(Poengsatt!F20&lt;&gt;"",Poengsatt!F20,IF(Poengsatt!E20&lt;&gt;"",Poengsatt!E20,Poengsatt!A20))</f>
        <v>Adrian</v>
      </c>
      <c r="B19" s="7">
        <f>Poengsatt!G20</f>
        <v>9</v>
      </c>
    </row>
    <row r="20" spans="1:2">
      <c r="A20" t="str">
        <f>IF(Poengsatt!F21&lt;&gt;"",Poengsatt!F21,IF(Poengsatt!E21&lt;&gt;"",Poengsatt!E21,Poengsatt!A21))</f>
        <v>ElToro</v>
      </c>
      <c r="B20" s="7">
        <f>Poengsatt!G21</f>
        <v>9</v>
      </c>
    </row>
  </sheetData>
  <conditionalFormatting sqref="B2:B20">
    <cfRule type="dataBar" priority="1">
      <dataBar>
        <cfvo type="min"/>
        <cfvo type="max"/>
        <color rgb="FF0F766E"/>
      </dataBar>
    </cfRule>
    <cfRule type="dataBar" priority="2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{C2006869-70DB-5A9F-1398-27E3C55A9F70}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006869-70DB-5A9F-1398-27E3C55A9F70}">
            <x14:dataBar>
              <x14:cfvo type="min"/>
              <x14:cfvo type="max"/>
              <x14:negativeFillColor auto="1"/>
              <x14:axisColor auto="1"/>
            </x14:dataBar>
          </x14:cfRule>
          <xm:sqref>B2:B20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Poengsatt</vt:lpstr>
      <vt:lpstr>Original</vt:lpstr>
      <vt:lpstr>Fasit_vurdering</vt:lpstr>
      <vt:lpstr>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Stig Conradi</dc:creator>
  <cp:lastModifiedBy>Stig Conradi</cp:lastModifiedBy>
  <dcterms:created xsi:type="dcterms:W3CDTF">2026-07-07T07:34:49Z</dcterms:created>
  <dcterms:modified xsi:type="dcterms:W3CDTF">2026-07-07T07:34:49Z</dcterms:modified>
</cp:coreProperties>
</file>